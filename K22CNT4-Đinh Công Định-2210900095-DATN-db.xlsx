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DATN-DCD\"/>
    </mc:Choice>
  </mc:AlternateContent>
  <xr:revisionPtr revIDLastSave="0" documentId="13_ncr:1_{D0032137-7FD5-4659-B13A-7CCA1300F6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iết kế CSDL" sheetId="4" r:id="rId1"/>
    <sheet name="Dữ liệu mẫu" sheetId="9" r:id="rId2"/>
    <sheet name="Công việc thực hiện" sheetId="5" r:id="rId3"/>
  </sheets>
  <definedNames>
    <definedName name="_Toc217835647" localSheetId="0">'Thiết kế CSDL'!$B$41</definedName>
    <definedName name="_Toc217835648" localSheetId="0">'Thiết kế CSDL'!$B$42</definedName>
    <definedName name="_Toc217835649" localSheetId="0">'Thiết kế CSDL'!$B$65</definedName>
    <definedName name="_Toc217835650" localSheetId="0">'Thiết kế CSDL'!$B$66</definedName>
    <definedName name="_Toc217835651" localSheetId="0">'Thiết kế CSDL'!$B$86</definedName>
    <definedName name="_Toc217835652" localSheetId="0">'Thiết kế CSDL'!$B$93</definedName>
    <definedName name="_Toc217835653" localSheetId="0">'Thiết kế CSDL'!$B$104</definedName>
    <definedName name="_Toc217835654" localSheetId="0">'Thiết kế CSDL'!$B$112</definedName>
    <definedName name="_Toc217835656" localSheetId="0">'Thiết kế CSDL'!$B$121</definedName>
    <definedName name="nextDate">#REF!</definedName>
    <definedName name="pEnd">#REF!</definedName>
    <definedName name="thisDate">#REF!</definedName>
    <definedName name="valuevx">42.314159</definedName>
    <definedName name="vertex42_copyright">"© 2017 Vertex42 LLC"</definedName>
    <definedName name="vertex42_id">"project-planner.xlsx"</definedName>
    <definedName name="vertex42_title">"Project Planner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mMOc0LnR3xAd2l+giRZPxF9ZKWf4NBXgcSUNrqA3M0g="/>
    </ext>
  </extLst>
</workbook>
</file>

<file path=xl/calcChain.xml><?xml version="1.0" encoding="utf-8"?>
<calcChain xmlns="http://schemas.openxmlformats.org/spreadsheetml/2006/main">
  <c r="G14" i="5" l="1"/>
  <c r="G13" i="5"/>
  <c r="G11" i="5"/>
  <c r="H13" i="5"/>
  <c r="G5" i="5"/>
  <c r="H23" i="5"/>
  <c r="G25" i="5" s="1"/>
  <c r="H25" i="5" s="1"/>
  <c r="G26" i="5" s="1"/>
  <c r="H26" i="5" s="1"/>
  <c r="G27" i="5" s="1"/>
  <c r="H27" i="5" s="1"/>
  <c r="G28" i="5" s="1"/>
  <c r="H28" i="5" s="1"/>
  <c r="G29" i="5" s="1"/>
  <c r="H29" i="5" s="1"/>
  <c r="G30" i="5" s="1"/>
  <c r="H30" i="5" s="1"/>
  <c r="G31" i="5" s="1"/>
  <c r="H31" i="5" s="1"/>
  <c r="G32" i="5" s="1"/>
  <c r="H32" i="5" s="1"/>
  <c r="G33" i="5" s="1"/>
  <c r="H33" i="5" s="1"/>
  <c r="G34" i="5" s="1"/>
  <c r="H34" i="5" s="1"/>
  <c r="G35" i="5" s="1"/>
  <c r="H35" i="5" s="1"/>
  <c r="G36" i="5" s="1"/>
  <c r="H36" i="5" s="1"/>
  <c r="G37" i="5" s="1"/>
  <c r="H37" i="5" s="1"/>
  <c r="G38" i="5" s="1"/>
  <c r="H38" i="5" s="1"/>
  <c r="G39" i="5" s="1"/>
  <c r="L12" i="5"/>
  <c r="L11" i="5"/>
  <c r="H14" i="5"/>
  <c r="G15" i="5" s="1"/>
  <c r="H15" i="5" s="1"/>
  <c r="G16" i="5" s="1"/>
  <c r="H16" i="5" s="1"/>
  <c r="G17" i="5" s="1"/>
  <c r="H17" i="5" s="1"/>
  <c r="G18" i="5" s="1"/>
  <c r="H18" i="5" s="1"/>
  <c r="G19" i="5" s="1"/>
  <c r="H19" i="5" s="1"/>
  <c r="G20" i="5" s="1"/>
  <c r="H20" i="5" s="1"/>
  <c r="G21" i="5" s="1"/>
  <c r="H21" i="5" s="1"/>
  <c r="G22" i="5" s="1"/>
  <c r="H22" i="5" s="1"/>
  <c r="L10" i="5"/>
  <c r="M9" i="5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W9" i="5" s="1"/>
  <c r="AX9" i="5" s="1"/>
  <c r="AY9" i="5" s="1"/>
  <c r="AZ9" i="5" s="1"/>
  <c r="BA9" i="5" s="1"/>
  <c r="BB9" i="5" s="1"/>
  <c r="BC9" i="5" s="1"/>
  <c r="BD9" i="5" s="1"/>
  <c r="BE9" i="5" s="1"/>
  <c r="BF9" i="5" s="1"/>
  <c r="BG9" i="5" s="1"/>
  <c r="BH9" i="5" s="1"/>
  <c r="BI9" i="5" s="1"/>
  <c r="BJ9" i="5" s="1"/>
  <c r="BK9" i="5" s="1"/>
  <c r="BL9" i="5" s="1"/>
  <c r="BM9" i="5" s="1"/>
  <c r="BN9" i="5" s="1"/>
  <c r="M7" i="5"/>
  <c r="M8" i="5" s="1"/>
  <c r="G3" i="4"/>
  <c r="H11" i="5" l="1"/>
  <c r="N7" i="5"/>
  <c r="N8" i="5" l="1"/>
  <c r="O7" i="5"/>
  <c r="P7" i="5" l="1"/>
  <c r="O8" i="5"/>
  <c r="P8" i="5" l="1"/>
  <c r="Q7" i="5"/>
  <c r="Q8" i="5" l="1"/>
  <c r="R7" i="5"/>
  <c r="S7" i="5" l="1"/>
  <c r="R8" i="5"/>
  <c r="T7" i="5" l="1"/>
  <c r="S8" i="5"/>
  <c r="U7" i="5" l="1"/>
  <c r="T8" i="5"/>
  <c r="V7" i="5" l="1"/>
  <c r="U8" i="5"/>
  <c r="W7" i="5" l="1"/>
  <c r="V8" i="5"/>
  <c r="X7" i="5" l="1"/>
  <c r="W8" i="5"/>
  <c r="X8" i="5" l="1"/>
  <c r="Y7" i="5"/>
  <c r="Y8" i="5" l="1"/>
  <c r="Z7" i="5"/>
  <c r="Z8" i="5" l="1"/>
  <c r="AA7" i="5"/>
  <c r="AA8" i="5" l="1"/>
  <c r="AB7" i="5"/>
  <c r="AC7" i="5" l="1"/>
  <c r="AB8" i="5"/>
  <c r="AD7" i="5" l="1"/>
  <c r="AC8" i="5"/>
  <c r="AD8" i="5" l="1"/>
  <c r="AE7" i="5"/>
  <c r="AE8" i="5" l="1"/>
  <c r="AF7" i="5"/>
  <c r="AF8" i="5" l="1"/>
  <c r="AG7" i="5"/>
  <c r="AG8" i="5" l="1"/>
  <c r="AH7" i="5"/>
  <c r="AH8" i="5" l="1"/>
  <c r="AI7" i="5"/>
  <c r="AJ7" i="5" l="1"/>
  <c r="AI8" i="5"/>
  <c r="AK7" i="5" l="1"/>
  <c r="AJ8" i="5"/>
  <c r="AL7" i="5" l="1"/>
  <c r="AK8" i="5"/>
  <c r="AM7" i="5" l="1"/>
  <c r="AL8" i="5"/>
  <c r="AN7" i="5" l="1"/>
  <c r="AM8" i="5"/>
  <c r="AN8" i="5" l="1"/>
  <c r="AO7" i="5"/>
  <c r="AO8" i="5" l="1"/>
  <c r="AP7" i="5"/>
  <c r="AP8" i="5" l="1"/>
  <c r="AQ7" i="5"/>
  <c r="AQ8" i="5" l="1"/>
  <c r="AR7" i="5"/>
  <c r="AR8" i="5" l="1"/>
  <c r="AS7" i="5"/>
  <c r="AS8" i="5" l="1"/>
  <c r="AT7" i="5"/>
  <c r="AT8" i="5" l="1"/>
  <c r="AU7" i="5"/>
  <c r="AV7" i="5" l="1"/>
  <c r="AU8" i="5"/>
  <c r="AV8" i="5" l="1"/>
  <c r="AW7" i="5"/>
  <c r="AW8" i="5" l="1"/>
  <c r="AX7" i="5"/>
  <c r="AX8" i="5" l="1"/>
  <c r="AY7" i="5"/>
  <c r="AZ7" i="5" l="1"/>
  <c r="AY8" i="5"/>
  <c r="BA7" i="5" l="1"/>
  <c r="AZ8" i="5"/>
  <c r="BB7" i="5" l="1"/>
  <c r="BA8" i="5"/>
  <c r="BC7" i="5" l="1"/>
  <c r="BB8" i="5"/>
  <c r="BD7" i="5" l="1"/>
  <c r="BC8" i="5"/>
  <c r="BD8" i="5" l="1"/>
  <c r="BE7" i="5"/>
  <c r="BE8" i="5" l="1"/>
  <c r="BF7" i="5"/>
  <c r="BG7" i="5" l="1"/>
  <c r="BF8" i="5"/>
  <c r="BH7" i="5" l="1"/>
  <c r="BG8" i="5"/>
  <c r="BI7" i="5" l="1"/>
  <c r="BH8" i="5"/>
  <c r="BI8" i="5" l="1"/>
  <c r="BJ7" i="5"/>
  <c r="BJ8" i="5" l="1"/>
  <c r="BK7" i="5"/>
  <c r="BK8" i="5" l="1"/>
  <c r="BL7" i="5"/>
  <c r="BL8" i="5" l="1"/>
  <c r="BM7" i="5"/>
  <c r="BM8" i="5" l="1"/>
  <c r="BN7" i="5"/>
  <c r="BO7" i="5" l="1"/>
  <c r="BO8" i="5" s="1"/>
  <c r="BN8" i="5"/>
</calcChain>
</file>

<file path=xl/sharedStrings.xml><?xml version="1.0" encoding="utf-8"?>
<sst xmlns="http://schemas.openxmlformats.org/spreadsheetml/2006/main" count="456" uniqueCount="228">
  <si>
    <t>[42]</t>
  </si>
  <si>
    <t>Sinh viên thực hiện</t>
  </si>
  <si>
    <t>Bắt đầu</t>
  </si>
  <si>
    <t>Mã số</t>
  </si>
  <si>
    <t>Kết thúc</t>
  </si>
  <si>
    <t>Khóa</t>
  </si>
  <si>
    <t>Giảng viên hướng dẫn</t>
  </si>
  <si>
    <t>Ths. Trịnh Văn Chung</t>
  </si>
  <si>
    <t>Mốc Milestone chính</t>
  </si>
  <si>
    <t>Ngày</t>
  </si>
  <si>
    <t>Lập kế hoạch</t>
  </si>
  <si>
    <t>Mô tả bài toán</t>
  </si>
  <si>
    <t>Ngày bắt đầu</t>
  </si>
  <si>
    <t>Phân tích yêu cầu chức năng</t>
  </si>
  <si>
    <t>Thiết kế cơ sở dữ liệu</t>
  </si>
  <si>
    <t>Hiển thị theo</t>
  </si>
  <si>
    <t>Daily</t>
  </si>
  <si>
    <t xml:space="preserve">Xây dựng trang quản trị </t>
  </si>
  <si>
    <t>Mã</t>
  </si>
  <si>
    <t>Display Period:</t>
  </si>
  <si>
    <t>Xây dựng trang người dùng</t>
  </si>
  <si>
    <t>Mã nguồn (Link GitHub)</t>
  </si>
  <si>
    <t>WBS</t>
  </si>
  <si>
    <t>CÔNG VIỆC</t>
  </si>
  <si>
    <t>CHỦ TRÌ</t>
  </si>
  <si>
    <t>PHỐI HỢP</t>
  </si>
  <si>
    <t>NỘI DUNG</t>
  </si>
  <si>
    <t>TIẾN ĐỘ</t>
  </si>
  <si>
    <t>DỰ KIẾN BẮT ĐẦU</t>
  </si>
  <si>
    <t>DỰ KIẾN KẾT THÚC</t>
  </si>
  <si>
    <t>SỐ NGÀY DỰ KIẾN</t>
  </si>
  <si>
    <t>NGÀY BẮT ĐẦU THỰC TẾ</t>
  </si>
  <si>
    <t>NGÀY KẾT THÚC THỰC TẾ</t>
  </si>
  <si>
    <t>SỐ NGÀY THỰC TẾ</t>
  </si>
  <si>
    <t>Đinh Công Định</t>
  </si>
  <si>
    <t>K22CNT3</t>
  </si>
  <si>
    <t xml:space="preserve">ĐỀ TÀI:  XÂY DỰNG WEBSITE IFIXZONE 
(LINH KIỆN &amp; DỤNG CỤ SỬA CHỮA ĐIỆN TỬ ) </t>
  </si>
  <si>
    <t>ĐỀ TÀI: XÂY DỰNG WEBSITE IFIXZONE 
(LINH KIỆN &amp; DỤNG CỤ SỬA CHỮA ĐIỆN TỬ )</t>
  </si>
  <si>
    <t>Tên cột</t>
  </si>
  <si>
    <t>Kiểu dữ liệu</t>
  </si>
  <si>
    <t>Ràng buộc</t>
  </si>
  <si>
    <t>Mô tả</t>
  </si>
  <si>
    <t>UserID</t>
  </si>
  <si>
    <t>int</t>
  </si>
  <si>
    <t>Primary Key, Identity</t>
  </si>
  <si>
    <t>Mã người dùng</t>
  </si>
  <si>
    <t>Username</t>
  </si>
  <si>
    <t>nvarchar(50)</t>
  </si>
  <si>
    <t>Unique, Not Null</t>
  </si>
  <si>
    <t>Tên đăng nhập</t>
  </si>
  <si>
    <t>nvarchar(100)</t>
  </si>
  <si>
    <t>Not Null</t>
  </si>
  <si>
    <t>FullName</t>
  </si>
  <si>
    <t>Họ tên</t>
  </si>
  <si>
    <t>Email</t>
  </si>
  <si>
    <t>Phone</t>
  </si>
  <si>
    <t>nvarchar(20)</t>
  </si>
  <si>
    <t>Số điện thoại</t>
  </si>
  <si>
    <t>Address</t>
  </si>
  <si>
    <t>nvarchar(255)</t>
  </si>
  <si>
    <t>CreatedAt</t>
  </si>
  <si>
    <t>datetime</t>
  </si>
  <si>
    <t>Default(GetDate())</t>
  </si>
  <si>
    <t>Status</t>
  </si>
  <si>
    <t>CategoryID</t>
  </si>
  <si>
    <t>Mã danh mục</t>
  </si>
  <si>
    <t>CategoryName</t>
  </si>
  <si>
    <t>Tên danh mục</t>
  </si>
  <si>
    <t>ParentID</t>
  </si>
  <si>
    <t>Danh mục cha (nếu có)</t>
  </si>
  <si>
    <t>ProductID</t>
  </si>
  <si>
    <t>Mã sản phẩm</t>
  </si>
  <si>
    <t>ProductName</t>
  </si>
  <si>
    <t>nvarchar(200)</t>
  </si>
  <si>
    <t>Tên sản phẩm</t>
  </si>
  <si>
    <t>Price</t>
  </si>
  <si>
    <t>decimal(18,2)</t>
  </si>
  <si>
    <t>Giá bán</t>
  </si>
  <si>
    <t>Quantity</t>
  </si>
  <si>
    <t>Số lượng tồn</t>
  </si>
  <si>
    <t>MainImage</t>
  </si>
  <si>
    <t>Ảnh đại diện</t>
  </si>
  <si>
    <t>Description</t>
  </si>
  <si>
    <t>CartID</t>
  </si>
  <si>
    <t>Mã giỏ hàng</t>
  </si>
  <si>
    <t>FK → Users</t>
  </si>
  <si>
    <t>FK → Products</t>
  </si>
  <si>
    <t>Sản phẩm</t>
  </si>
  <si>
    <t>Số lượng</t>
  </si>
  <si>
    <t>OrderID</t>
  </si>
  <si>
    <t>Mã đơn hàng</t>
  </si>
  <si>
    <t>OrderCode</t>
  </si>
  <si>
    <t>TotalAmount</t>
  </si>
  <si>
    <t>Tổng tiền</t>
  </si>
  <si>
    <t>nvarchar(30)</t>
  </si>
  <si>
    <t>OrderDate</t>
  </si>
  <si>
    <t>RecipientName</t>
  </si>
  <si>
    <t>Người nhận</t>
  </si>
  <si>
    <t>RecipientPhone</t>
  </si>
  <si>
    <t>SĐT người nhận</t>
  </si>
  <si>
    <t>RecipientAddress</t>
  </si>
  <si>
    <t>OrderDetailID</t>
  </si>
  <si>
    <t>Mã chi tiết</t>
  </si>
  <si>
    <t>FK → Orders</t>
  </si>
  <si>
    <t>UnitPrice</t>
  </si>
  <si>
    <t>HistoryID</t>
  </si>
  <si>
    <t>Mã lịch sử</t>
  </si>
  <si>
    <t>Trạng thái cập nhật</t>
  </si>
  <si>
    <t>UpdatedAt</t>
  </si>
  <si>
    <t>Thời gian cập nhật</t>
  </si>
  <si>
    <t>ReviewID</t>
  </si>
  <si>
    <t>Mã đánh giá</t>
  </si>
  <si>
    <t>Người đánh giá</t>
  </si>
  <si>
    <t>Rating</t>
  </si>
  <si>
    <t>Check 1–5</t>
  </si>
  <si>
    <t>Điểm đánh giá</t>
  </si>
  <si>
    <t>Comment</t>
  </si>
  <si>
    <t>nvarchar(500)</t>
  </si>
  <si>
    <t>Nội dung đánh giá</t>
  </si>
  <si>
    <t>Ngày đánh giá</t>
  </si>
  <si>
    <t>SpecID</t>
  </si>
  <si>
    <t>Mã thông số</t>
  </si>
  <si>
    <t>SpecName</t>
  </si>
  <si>
    <t>Tên thông số</t>
  </si>
  <si>
    <t>SpecValue</t>
  </si>
  <si>
    <t>Giá trị thông số</t>
  </si>
  <si>
    <t>NotificationID</t>
  </si>
  <si>
    <t>Mã thông báo</t>
  </si>
  <si>
    <t>Content</t>
  </si>
  <si>
    <t>Nội dung thông báo</t>
  </si>
  <si>
    <t>IsRead</t>
  </si>
  <si>
    <t>bit</t>
  </si>
  <si>
    <t>Default(0)</t>
  </si>
  <si>
    <t>Đã đọc / Chưa đọc</t>
  </si>
  <si>
    <t>Thời gian tạo</t>
  </si>
  <si>
    <t>Trường dữ liệu</t>
  </si>
  <si>
    <t>OrderDay</t>
  </si>
  <si>
    <t>Ngày phát sinh đơn hàng</t>
  </si>
  <si>
    <t>TotalOrders</t>
  </si>
  <si>
    <t>Tổng số lượng đơn trong ngày</t>
  </si>
  <si>
    <t>Revenue</t>
  </si>
  <si>
    <t>Tổng doanh thu theo ngày</t>
  </si>
  <si>
    <t>Bảng Thông báo</t>
  </si>
  <si>
    <t>Bảng: Users</t>
  </si>
  <si>
    <t>admin</t>
  </si>
  <si>
    <t>admin@ifixzone.vn</t>
  </si>
  <si>
    <t>Active</t>
  </si>
  <si>
    <t>user1</t>
  </si>
  <si>
    <t>Nguyễn Văn A</t>
  </si>
  <si>
    <t>a@gmail.com</t>
  </si>
  <si>
    <t>user2</t>
  </si>
  <si>
    <t>Trần Văn B</t>
  </si>
  <si>
    <t>b@gmail.com</t>
  </si>
  <si>
    <t>user3</t>
  </si>
  <si>
    <t>Lê Văn C</t>
  </si>
  <si>
    <t>c@gmail.com</t>
  </si>
  <si>
    <t>IC nguồn iPhone X</t>
  </si>
  <si>
    <t>Main iPhone 11</t>
  </si>
  <si>
    <t>Pin laptop Dell 5480</t>
  </si>
  <si>
    <t>Tua vít đa năng 24in1</t>
  </si>
  <si>
    <t>IC wifi iPhone 8</t>
  </si>
  <si>
    <t>Bảng: Products</t>
  </si>
  <si>
    <t>Bảng: Categories</t>
  </si>
  <si>
    <t>Linh kiện điện thoại</t>
  </si>
  <si>
    <t>NULL</t>
  </si>
  <si>
    <t>Linh kiện laptop</t>
  </si>
  <si>
    <t>Mainboard</t>
  </si>
  <si>
    <t>IC - Chip</t>
  </si>
  <si>
    <t>Dụng cụ sửa chữa</t>
  </si>
  <si>
    <t>Bảng: Orders</t>
  </si>
  <si>
    <t>OD001</t>
  </si>
  <si>
    <t>Hoàn thành</t>
  </si>
  <si>
    <t>Hà Nội</t>
  </si>
  <si>
    <t>OD002</t>
  </si>
  <si>
    <t>Đang xử lý</t>
  </si>
  <si>
    <t>Hải Phòng</t>
  </si>
  <si>
    <t>OD003</t>
  </si>
  <si>
    <t>Mới</t>
  </si>
  <si>
    <t>Đà Nẵng</t>
  </si>
  <si>
    <t>OD004</t>
  </si>
  <si>
    <t>OD005</t>
  </si>
  <si>
    <t>Hủy</t>
  </si>
  <si>
    <t xml:space="preserve"> Bảng Users (Người dùng hệ thống)</t>
  </si>
  <si>
    <t>PasswordHash</t>
  </si>
  <si>
    <t>Mật khẩu (đã mã hóa)</t>
  </si>
  <si>
    <t>Null</t>
  </si>
  <si>
    <t>Địa chỉ</t>
  </si>
  <si>
    <t>Default GETDATE()</t>
  </si>
  <si>
    <t>Ngày tạo</t>
  </si>
  <si>
    <t>IsActive</t>
  </si>
  <si>
    <t>Default 1</t>
  </si>
  <si>
    <t>Trạng thái hoạt động</t>
  </si>
  <si>
    <t>BảngCategories (Danh mục sản phẩm)</t>
  </si>
  <si>
    <t>RoleID</t>
  </si>
  <si>
    <t>Mã vai trò</t>
  </si>
  <si>
    <t>RoleName</t>
  </si>
  <si>
    <t>Tên vai trò (Admin / Staff / Customer)</t>
  </si>
  <si>
    <t>Primary Key, FK</t>
  </si>
  <si>
    <t>FK, Not Null</t>
  </si>
  <si>
    <t>Danh mục</t>
  </si>
  <si>
    <t>Stock</t>
  </si>
  <si>
    <t>Default 0</t>
  </si>
  <si>
    <t>Default 'Active'</t>
  </si>
  <si>
    <t>Trạng thái</t>
  </si>
  <si>
    <t>nvarchar(max)</t>
  </si>
  <si>
    <t>CartItemID</t>
  </si>
  <si>
    <t>Mã đơn</t>
  </si>
  <si>
    <t>Người đặt</t>
  </si>
  <si>
    <t>Default 'Mới'</t>
  </si>
  <si>
    <t>Ngày đặt</t>
  </si>
  <si>
    <t>Địa chỉ giao</t>
  </si>
  <si>
    <t>Giá tại thời điểm mua</t>
  </si>
  <si>
    <r>
      <t xml:space="preserve">Bảng </t>
    </r>
    <r>
      <rPr>
        <b/>
        <sz val="13"/>
        <color theme="1"/>
        <rFont val="Times New Roman"/>
        <family val="1"/>
      </rPr>
      <t>Roles (Vai trò người dùng)</t>
    </r>
  </si>
  <si>
    <r>
      <t xml:space="preserve">Bảng </t>
    </r>
    <r>
      <rPr>
        <b/>
        <sz val="13"/>
        <color theme="1"/>
        <rFont val="Times New Roman"/>
        <family val="1"/>
      </rPr>
      <t>UserRoles (Phân quyền người dùng)</t>
    </r>
  </si>
  <si>
    <r>
      <t xml:space="preserve">Bảng </t>
    </r>
    <r>
      <rPr>
        <b/>
        <sz val="13"/>
        <color theme="1"/>
        <rFont val="Times New Roman"/>
        <family val="1"/>
      </rPr>
      <t>Products (Sản phẩm)</t>
    </r>
  </si>
  <si>
    <r>
      <t xml:space="preserve">Bảng </t>
    </r>
    <r>
      <rPr>
        <b/>
        <sz val="13"/>
        <color theme="1"/>
        <rFont val="Times New Roman"/>
        <family val="1"/>
      </rPr>
      <t>Carts (Giỏ hàng)</t>
    </r>
  </si>
  <si>
    <t>Bảng CartItems (Chi tiết giỏ hàng)</t>
  </si>
  <si>
    <r>
      <t xml:space="preserve"> </t>
    </r>
    <r>
      <rPr>
        <b/>
        <sz val="13"/>
        <color theme="1"/>
        <rFont val="Times New Roman"/>
        <family val="1"/>
      </rPr>
      <t>Bảng Orders (Đơn hàng)</t>
    </r>
  </si>
  <si>
    <r>
      <t xml:space="preserve">Bảng </t>
    </r>
    <r>
      <rPr>
        <b/>
        <sz val="13"/>
        <color theme="1"/>
        <rFont val="Times New Roman"/>
        <family val="1"/>
      </rPr>
      <t>OrderDetails (Chi tiết đơn hàng)</t>
    </r>
  </si>
  <si>
    <r>
      <t xml:space="preserve">Bảng </t>
    </r>
    <r>
      <rPr>
        <b/>
        <sz val="13"/>
        <color theme="1"/>
        <rFont val="Times New Roman"/>
        <family val="1"/>
      </rPr>
      <t xml:space="preserve">OrderStatusHistory </t>
    </r>
  </si>
  <si>
    <r>
      <t xml:space="preserve">Bảng </t>
    </r>
    <r>
      <rPr>
        <b/>
        <sz val="13"/>
        <color theme="1"/>
        <rFont val="Times New Roman"/>
        <family val="1"/>
      </rPr>
      <t>Reviews (Đánh giá sản phẩm)</t>
    </r>
  </si>
  <si>
    <r>
      <t xml:space="preserve">Bảng </t>
    </r>
    <r>
      <rPr>
        <b/>
        <sz val="13"/>
        <color theme="1"/>
        <rFont val="Times New Roman"/>
        <family val="1"/>
      </rPr>
      <t>ProductSpecifications (Thông số kỹ thuật sản phẩm)</t>
    </r>
  </si>
  <si>
    <r>
      <t xml:space="preserve">Bảng </t>
    </r>
    <r>
      <rPr>
        <b/>
        <sz val="13"/>
        <color theme="1"/>
        <rFont val="Times New Roman"/>
        <family val="1"/>
      </rPr>
      <t>View View_Statistics (Thống kê doanh thu)</t>
    </r>
  </si>
  <si>
    <t>Quản trị viên</t>
  </si>
  <si>
    <t>staff1</t>
  </si>
  <si>
    <t>Nhân viên A</t>
  </si>
  <si>
    <t>staff@ifixzone.vn</t>
  </si>
  <si>
    <t>DỮ LIỆU MẪU HỆ THỐNG IFIXZONE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</si>
</sst>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,\ d/m/yyyy"/>
    <numFmt numFmtId="165" formatCode="_(* #,##0_);_(* \(#,##0\);_(* &quot;-&quot;??_);_(@_)"/>
    <numFmt numFmtId="166" formatCode="m/d/yy"/>
  </numFmts>
  <fonts count="43">
    <font>
      <sz val="11"/>
      <color theme="1"/>
      <name val="Calibri"/>
      <scheme val="minor"/>
    </font>
    <font>
      <b/>
      <sz val="14"/>
      <color rgb="FF002060"/>
      <name val="Times New Roman"/>
    </font>
    <font>
      <sz val="14"/>
      <color theme="1"/>
      <name val="Times New Roman"/>
    </font>
    <font>
      <sz val="14"/>
      <color rgb="FF7F7F7F"/>
      <name val="Times New Roman"/>
    </font>
    <font>
      <sz val="14"/>
      <color theme="0"/>
      <name val="Times New Roman"/>
    </font>
    <font>
      <b/>
      <sz val="14"/>
      <color theme="4"/>
      <name val="Times New Roman"/>
    </font>
    <font>
      <b/>
      <sz val="14"/>
      <color theme="1"/>
      <name val="Times New Roman"/>
    </font>
    <font>
      <b/>
      <sz val="14"/>
      <color rgb="FFC00000"/>
      <name val="Times New Roman"/>
    </font>
    <font>
      <sz val="11"/>
      <name val="Calibri"/>
    </font>
    <font>
      <b/>
      <sz val="16"/>
      <color rgb="FF002060"/>
      <name val="Calibri"/>
    </font>
    <font>
      <sz val="10"/>
      <color theme="1"/>
      <name val="Calibri"/>
    </font>
    <font>
      <sz val="10"/>
      <color rgb="FF7F7F7F"/>
      <name val="Calibri"/>
    </font>
    <font>
      <sz val="11"/>
      <color theme="1"/>
      <name val="Calibri"/>
    </font>
    <font>
      <sz val="1"/>
      <color theme="0"/>
      <name val="Calibri"/>
    </font>
    <font>
      <b/>
      <sz val="16"/>
      <color theme="1"/>
      <name val="Calibri"/>
    </font>
    <font>
      <b/>
      <sz val="16"/>
      <color theme="4"/>
      <name val="Calibri"/>
    </font>
    <font>
      <b/>
      <sz val="12"/>
      <color theme="4"/>
      <name val="Calibri"/>
    </font>
    <font>
      <b/>
      <sz val="12"/>
      <color rgb="FFC00000"/>
      <name val="Calibri"/>
    </font>
    <font>
      <b/>
      <sz val="14"/>
      <color theme="4"/>
      <name val="Calibri"/>
    </font>
    <font>
      <b/>
      <sz val="10"/>
      <color theme="1"/>
      <name val="Calibri"/>
    </font>
    <font>
      <sz val="10"/>
      <color theme="0"/>
      <name val="Calibri"/>
    </font>
    <font>
      <sz val="11"/>
      <color theme="0"/>
      <name val="Calibri"/>
    </font>
    <font>
      <b/>
      <sz val="10"/>
      <color rgb="FFFF0000"/>
      <name val="Calibri"/>
    </font>
    <font>
      <sz val="10"/>
      <color rgb="FFFF0000"/>
      <name val="Calibri"/>
    </font>
    <font>
      <sz val="8"/>
      <color theme="1"/>
      <name val="Calibri"/>
    </font>
    <font>
      <b/>
      <sz val="10"/>
      <color theme="0"/>
      <name val="Calibri"/>
    </font>
    <font>
      <b/>
      <sz val="11"/>
      <color theme="1"/>
      <name val="Calibri"/>
    </font>
    <font>
      <u/>
      <sz val="11"/>
      <color theme="1"/>
      <name val="Calibri"/>
    </font>
    <font>
      <i/>
      <sz val="11"/>
      <color theme="1"/>
      <name val="Calibri"/>
    </font>
    <font>
      <sz val="11"/>
      <color rgb="FFFF0000"/>
      <name val="Calibri"/>
    </font>
    <font>
      <sz val="11"/>
      <color rgb="FFC00000"/>
      <name val="Calibri"/>
    </font>
    <font>
      <b/>
      <sz val="11"/>
      <color rgb="FFFF0000"/>
      <name val="Calibri"/>
    </font>
    <font>
      <b/>
      <i/>
      <sz val="11"/>
      <color rgb="FFFF0000"/>
      <name val="Calibri"/>
    </font>
    <font>
      <b/>
      <sz val="11"/>
      <color rgb="FF7F7F7F"/>
      <name val="Calibri"/>
    </font>
    <font>
      <u/>
      <sz val="10"/>
      <color rgb="FF7F7F7F"/>
      <name val="Calibri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4"/>
      <color theme="1"/>
      <name val="Time s New Roman"/>
      <charset val="163"/>
    </font>
    <font>
      <b/>
      <sz val="14"/>
      <color theme="1"/>
      <name val="Time s New Roman"/>
      <charset val="163"/>
    </font>
    <font>
      <b/>
      <sz val="14"/>
      <color theme="1"/>
      <name val="Times New Roman"/>
      <family val="1"/>
    </font>
    <font>
      <sz val="13"/>
      <color theme="1"/>
      <name val="Calibri"/>
      <family val="2"/>
      <scheme val="minor"/>
    </font>
    <font>
      <sz val="11"/>
      <color theme="1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A5A5A5"/>
      </top>
      <bottom/>
      <diagonal/>
    </border>
    <border>
      <left style="thin">
        <color rgb="FFD8D8D8"/>
      </left>
      <right style="thin">
        <color rgb="FFD8D8D8"/>
      </right>
      <top/>
      <bottom style="medium">
        <color rgb="FFD8D8D8"/>
      </bottom>
      <diagonal/>
    </border>
    <border>
      <left style="thin">
        <color rgb="FF000000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D8D8D8"/>
      </left>
      <right style="thin">
        <color rgb="FF000000"/>
      </right>
      <top style="medium">
        <color rgb="FFD8D8D8"/>
      </top>
      <bottom style="medium">
        <color rgb="FFD8D8D8"/>
      </bottom>
      <diagonal/>
    </border>
    <border>
      <left/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000000"/>
      </left>
      <right style="thin">
        <color rgb="FFD8D8D8"/>
      </right>
      <top style="medium">
        <color rgb="FFD8D8D8"/>
      </top>
      <bottom/>
      <diagonal/>
    </border>
    <border>
      <left style="thin">
        <color rgb="FFD8D8D8"/>
      </left>
      <right style="thin">
        <color rgb="FFD8D8D8"/>
      </right>
      <top style="medium">
        <color rgb="FFD8D8D8"/>
      </top>
      <bottom/>
      <diagonal/>
    </border>
    <border>
      <left style="thin">
        <color rgb="FFD8D8D8"/>
      </left>
      <right style="thin">
        <color rgb="FF000000"/>
      </right>
      <top style="medium">
        <color rgb="FFD8D8D8"/>
      </top>
      <bottom/>
      <diagonal/>
    </border>
    <border>
      <left style="thin">
        <color rgb="FF000000"/>
      </left>
      <right style="thin">
        <color rgb="FFD8D8D8"/>
      </right>
      <top style="medium">
        <color rgb="FFD8D8D8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thin">
        <color rgb="FF000000"/>
      </bottom>
      <diagonal/>
    </border>
    <border>
      <left style="thin">
        <color rgb="FFD8D8D8"/>
      </left>
      <right style="thin">
        <color rgb="FF000000"/>
      </right>
      <top style="medium">
        <color rgb="FFD8D8D8"/>
      </top>
      <bottom style="thin">
        <color rgb="FF000000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 applyFont="1" applyAlignme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right" vertical="center" wrapText="1"/>
    </xf>
    <xf numFmtId="164" fontId="2" fillId="0" borderId="2" xfId="0" applyNumberFormat="1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right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/>
    <xf numFmtId="164" fontId="2" fillId="0" borderId="8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right" vertical="center" wrapText="1"/>
    </xf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2" fillId="0" borderId="12" xfId="0" applyFont="1" applyBorder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wrapText="1"/>
    </xf>
    <xf numFmtId="164" fontId="10" fillId="0" borderId="1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10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right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14" fontId="21" fillId="0" borderId="14" xfId="0" applyNumberFormat="1" applyFont="1" applyBorder="1" applyAlignment="1">
      <alignment wrapText="1"/>
    </xf>
    <xf numFmtId="14" fontId="19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wrapText="1"/>
    </xf>
    <xf numFmtId="14" fontId="22" fillId="0" borderId="0" xfId="0" applyNumberFormat="1" applyFont="1" applyAlignment="1">
      <alignment horizontal="center" vertical="center" wrapText="1"/>
    </xf>
    <xf numFmtId="14" fontId="24" fillId="3" borderId="17" xfId="0" applyNumberFormat="1" applyFont="1" applyFill="1" applyBorder="1" applyAlignment="1">
      <alignment horizontal="center" vertical="center" wrapText="1"/>
    </xf>
    <xf numFmtId="0" fontId="25" fillId="4" borderId="18" xfId="0" applyFont="1" applyFill="1" applyBorder="1" applyAlignment="1">
      <alignment horizontal="center" vertical="center" wrapText="1"/>
    </xf>
    <xf numFmtId="0" fontId="25" fillId="4" borderId="19" xfId="0" applyFont="1" applyFill="1" applyBorder="1" applyAlignment="1">
      <alignment horizontal="left" vertical="center" wrapText="1"/>
    </xf>
    <xf numFmtId="0" fontId="25" fillId="4" borderId="19" xfId="0" applyFont="1" applyFill="1" applyBorder="1" applyAlignment="1">
      <alignment horizontal="center" vertical="center" wrapText="1"/>
    </xf>
    <xf numFmtId="0" fontId="25" fillId="5" borderId="19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horizontal="center" vertical="center" wrapText="1"/>
    </xf>
    <xf numFmtId="0" fontId="25" fillId="4" borderId="21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shrinkToFit="1"/>
    </xf>
    <xf numFmtId="0" fontId="12" fillId="7" borderId="23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165" fontId="12" fillId="7" borderId="12" xfId="0" applyNumberFormat="1" applyFont="1" applyFill="1" applyBorder="1" applyAlignment="1">
      <alignment horizontal="left" vertical="center" wrapText="1"/>
    </xf>
    <xf numFmtId="9" fontId="12" fillId="7" borderId="12" xfId="0" applyNumberFormat="1" applyFont="1" applyFill="1" applyBorder="1" applyAlignment="1">
      <alignment horizontal="center" vertical="center" wrapText="1"/>
    </xf>
    <xf numFmtId="164" fontId="26" fillId="7" borderId="24" xfId="0" applyNumberFormat="1" applyFont="1" applyFill="1" applyBorder="1" applyAlignment="1">
      <alignment vertical="center" wrapText="1"/>
    </xf>
    <xf numFmtId="0" fontId="26" fillId="7" borderId="25" xfId="0" applyFont="1" applyFill="1" applyBorder="1" applyAlignment="1">
      <alignment horizontal="center" vertical="center" wrapText="1"/>
    </xf>
    <xf numFmtId="166" fontId="12" fillId="0" borderId="26" xfId="0" applyNumberFormat="1" applyFont="1" applyBorder="1" applyAlignment="1">
      <alignment horizontal="center" vertical="center" wrapText="1"/>
    </xf>
    <xf numFmtId="166" fontId="12" fillId="0" borderId="12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26" fillId="3" borderId="23" xfId="0" applyFont="1" applyFill="1" applyBorder="1" applyAlignment="1">
      <alignment horizontal="center" vertical="center" wrapText="1"/>
    </xf>
    <xf numFmtId="0" fontId="26" fillId="3" borderId="12" xfId="0" applyFont="1" applyFill="1" applyBorder="1" applyAlignment="1">
      <alignment horizontal="left" vertical="center" wrapText="1"/>
    </xf>
    <xf numFmtId="0" fontId="26" fillId="3" borderId="12" xfId="0" applyFont="1" applyFill="1" applyBorder="1" applyAlignment="1">
      <alignment horizontal="center" vertical="center" wrapText="1"/>
    </xf>
    <xf numFmtId="165" fontId="26" fillId="3" borderId="12" xfId="0" applyNumberFormat="1" applyFont="1" applyFill="1" applyBorder="1" applyAlignment="1">
      <alignment horizontal="left" vertical="center" wrapText="1"/>
    </xf>
    <xf numFmtId="9" fontId="12" fillId="3" borderId="12" xfId="0" applyNumberFormat="1" applyFont="1" applyFill="1" applyBorder="1" applyAlignment="1">
      <alignment horizontal="center" vertical="center" wrapText="1"/>
    </xf>
    <xf numFmtId="164" fontId="26" fillId="3" borderId="24" xfId="0" applyNumberFormat="1" applyFont="1" applyFill="1" applyBorder="1" applyAlignment="1">
      <alignment vertical="center" wrapText="1"/>
    </xf>
    <xf numFmtId="0" fontId="26" fillId="3" borderId="25" xfId="0" applyFont="1" applyFill="1" applyBorder="1" applyAlignment="1">
      <alignment horizontal="center" vertical="center" wrapText="1"/>
    </xf>
    <xf numFmtId="14" fontId="12" fillId="3" borderId="28" xfId="0" applyNumberFormat="1" applyFont="1" applyFill="1" applyBorder="1" applyAlignment="1">
      <alignment horizontal="center" vertical="center" wrapText="1"/>
    </xf>
    <xf numFmtId="14" fontId="12" fillId="3" borderId="12" xfId="0" applyNumberFormat="1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center" vertical="center" wrapText="1"/>
    </xf>
    <xf numFmtId="165" fontId="26" fillId="0" borderId="12" xfId="0" applyNumberFormat="1" applyFont="1" applyBorder="1" applyAlignment="1">
      <alignment horizontal="left" vertical="center" wrapText="1"/>
    </xf>
    <xf numFmtId="9" fontId="26" fillId="0" borderId="12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6" fillId="0" borderId="25" xfId="0" applyFont="1" applyBorder="1" applyAlignment="1">
      <alignment horizontal="center" vertical="center" wrapText="1"/>
    </xf>
    <xf numFmtId="14" fontId="26" fillId="0" borderId="26" xfId="0" applyNumberFormat="1" applyFont="1" applyBorder="1" applyAlignment="1">
      <alignment horizontal="center" vertical="center" wrapText="1"/>
    </xf>
    <xf numFmtId="14" fontId="26" fillId="0" borderId="12" xfId="0" applyNumberFormat="1" applyFont="1" applyBorder="1" applyAlignment="1">
      <alignment horizontal="center" vertical="center" wrapText="1"/>
    </xf>
    <xf numFmtId="0" fontId="26" fillId="0" borderId="27" xfId="0" applyFont="1" applyBorder="1" applyAlignment="1">
      <alignment vertical="center" wrapText="1"/>
    </xf>
    <xf numFmtId="0" fontId="12" fillId="0" borderId="23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left" vertical="center" wrapText="1"/>
    </xf>
    <xf numFmtId="165" fontId="12" fillId="0" borderId="12" xfId="0" applyNumberFormat="1" applyFont="1" applyBorder="1" applyAlignment="1">
      <alignment horizontal="left" vertical="center" wrapText="1"/>
    </xf>
    <xf numFmtId="9" fontId="12" fillId="0" borderId="12" xfId="0" applyNumberFormat="1" applyFont="1" applyBorder="1" applyAlignment="1">
      <alignment horizontal="center" vertical="center" wrapText="1"/>
    </xf>
    <xf numFmtId="164" fontId="26" fillId="8" borderId="24" xfId="0" applyNumberFormat="1" applyFont="1" applyFill="1" applyBorder="1" applyAlignment="1">
      <alignment vertical="center" wrapText="1"/>
    </xf>
    <xf numFmtId="0" fontId="12" fillId="0" borderId="25" xfId="0" applyFont="1" applyBorder="1" applyAlignment="1">
      <alignment horizontal="center" vertical="center" wrapText="1"/>
    </xf>
    <xf numFmtId="14" fontId="12" fillId="0" borderId="26" xfId="0" applyNumberFormat="1" applyFont="1" applyBorder="1" applyAlignment="1">
      <alignment horizontal="center" vertical="center" wrapText="1"/>
    </xf>
    <xf numFmtId="14" fontId="12" fillId="0" borderId="12" xfId="0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right" vertical="center" wrapText="1"/>
    </xf>
    <xf numFmtId="164" fontId="12" fillId="8" borderId="24" xfId="0" applyNumberFormat="1" applyFont="1" applyFill="1" applyBorder="1" applyAlignment="1">
      <alignment vertical="center" wrapText="1"/>
    </xf>
    <xf numFmtId="0" fontId="26" fillId="0" borderId="27" xfId="0" applyFont="1" applyBorder="1" applyAlignment="1">
      <alignment horizontal="right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165" fontId="28" fillId="0" borderId="12" xfId="0" applyNumberFormat="1" applyFont="1" applyBorder="1" applyAlignment="1">
      <alignment horizontal="left" vertical="center" wrapText="1"/>
    </xf>
    <xf numFmtId="9" fontId="28" fillId="0" borderId="12" xfId="0" applyNumberFormat="1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14" fontId="28" fillId="0" borderId="26" xfId="0" applyNumberFormat="1" applyFont="1" applyBorder="1" applyAlignment="1">
      <alignment horizontal="center" vertical="center" wrapText="1"/>
    </xf>
    <xf numFmtId="14" fontId="28" fillId="0" borderId="12" xfId="0" applyNumberFormat="1" applyFont="1" applyBorder="1" applyAlignment="1">
      <alignment horizontal="center" vertical="center" wrapText="1"/>
    </xf>
    <xf numFmtId="0" fontId="28" fillId="0" borderId="27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164" fontId="28" fillId="8" borderId="24" xfId="0" applyNumberFormat="1" applyFont="1" applyFill="1" applyBorder="1" applyAlignment="1">
      <alignment vertical="center" wrapText="1"/>
    </xf>
    <xf numFmtId="165" fontId="26" fillId="3" borderId="12" xfId="0" applyNumberFormat="1" applyFont="1" applyFill="1" applyBorder="1" applyAlignment="1">
      <alignment horizontal="center" vertical="center" wrapText="1"/>
    </xf>
    <xf numFmtId="0" fontId="26" fillId="9" borderId="23" xfId="0" applyFont="1" applyFill="1" applyBorder="1" applyAlignment="1">
      <alignment horizontal="center" vertical="center" wrapText="1"/>
    </xf>
    <xf numFmtId="0" fontId="26" fillId="9" borderId="12" xfId="0" applyFont="1" applyFill="1" applyBorder="1" applyAlignment="1">
      <alignment horizontal="left" vertical="center" wrapText="1"/>
    </xf>
    <xf numFmtId="0" fontId="26" fillId="9" borderId="12" xfId="0" applyFont="1" applyFill="1" applyBorder="1" applyAlignment="1">
      <alignment horizontal="center" vertical="center" wrapText="1"/>
    </xf>
    <xf numFmtId="165" fontId="29" fillId="9" borderId="12" xfId="0" applyNumberFormat="1" applyFont="1" applyFill="1" applyBorder="1" applyAlignment="1">
      <alignment horizontal="left" vertical="center" wrapText="1"/>
    </xf>
    <xf numFmtId="9" fontId="12" fillId="9" borderId="12" xfId="0" applyNumberFormat="1" applyFont="1" applyFill="1" applyBorder="1" applyAlignment="1">
      <alignment horizontal="center" vertical="center" wrapText="1"/>
    </xf>
    <xf numFmtId="164" fontId="26" fillId="9" borderId="24" xfId="0" applyNumberFormat="1" applyFont="1" applyFill="1" applyBorder="1" applyAlignment="1">
      <alignment vertical="center" wrapText="1"/>
    </xf>
    <xf numFmtId="0" fontId="26" fillId="9" borderId="25" xfId="0" applyFont="1" applyFill="1" applyBorder="1" applyAlignment="1">
      <alignment horizontal="center" vertical="center" wrapText="1"/>
    </xf>
    <xf numFmtId="165" fontId="29" fillId="0" borderId="12" xfId="0" applyNumberFormat="1" applyFont="1" applyBorder="1" applyAlignment="1">
      <alignment horizontal="left" vertical="center" wrapText="1"/>
    </xf>
    <xf numFmtId="165" fontId="30" fillId="0" borderId="12" xfId="0" applyNumberFormat="1" applyFont="1" applyBorder="1" applyAlignment="1">
      <alignment horizontal="left" vertical="center" wrapText="1"/>
    </xf>
    <xf numFmtId="0" fontId="31" fillId="10" borderId="23" xfId="0" applyFont="1" applyFill="1" applyBorder="1" applyAlignment="1">
      <alignment horizontal="center" vertical="center" wrapText="1"/>
    </xf>
    <xf numFmtId="0" fontId="31" fillId="10" borderId="12" xfId="0" applyFont="1" applyFill="1" applyBorder="1" applyAlignment="1">
      <alignment horizontal="left" vertical="center" wrapText="1"/>
    </xf>
    <xf numFmtId="0" fontId="31" fillId="10" borderId="12" xfId="0" applyFont="1" applyFill="1" applyBorder="1" applyAlignment="1">
      <alignment horizontal="center" vertical="center" wrapText="1"/>
    </xf>
    <xf numFmtId="165" fontId="29" fillId="10" borderId="12" xfId="0" applyNumberFormat="1" applyFont="1" applyFill="1" applyBorder="1" applyAlignment="1">
      <alignment horizontal="left" vertical="center" wrapText="1"/>
    </xf>
    <xf numFmtId="9" fontId="29" fillId="10" borderId="12" xfId="0" applyNumberFormat="1" applyFont="1" applyFill="1" applyBorder="1" applyAlignment="1">
      <alignment horizontal="center" vertical="center" wrapText="1"/>
    </xf>
    <xf numFmtId="164" fontId="31" fillId="10" borderId="24" xfId="0" applyNumberFormat="1" applyFont="1" applyFill="1" applyBorder="1" applyAlignment="1">
      <alignment vertical="center" wrapText="1"/>
    </xf>
    <xf numFmtId="0" fontId="31" fillId="10" borderId="25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165" fontId="12" fillId="0" borderId="30" xfId="0" applyNumberFormat="1" applyFont="1" applyBorder="1" applyAlignment="1">
      <alignment horizontal="left" vertical="center" wrapText="1"/>
    </xf>
    <xf numFmtId="9" fontId="12" fillId="0" borderId="30" xfId="0" applyNumberFormat="1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31" fillId="10" borderId="32" xfId="0" applyFont="1" applyFill="1" applyBorder="1" applyAlignment="1">
      <alignment horizontal="center" vertical="center" wrapText="1"/>
    </xf>
    <xf numFmtId="0" fontId="31" fillId="10" borderId="33" xfId="0" applyFont="1" applyFill="1" applyBorder="1" applyAlignment="1">
      <alignment horizontal="left" vertical="center" wrapText="1"/>
    </xf>
    <xf numFmtId="0" fontId="32" fillId="10" borderId="33" xfId="0" applyFont="1" applyFill="1" applyBorder="1" applyAlignment="1">
      <alignment horizontal="center" vertical="center" wrapText="1"/>
    </xf>
    <xf numFmtId="165" fontId="32" fillId="10" borderId="33" xfId="0" applyNumberFormat="1" applyFont="1" applyFill="1" applyBorder="1" applyAlignment="1">
      <alignment horizontal="center" vertical="center" wrapText="1"/>
    </xf>
    <xf numFmtId="165" fontId="32" fillId="10" borderId="33" xfId="0" applyNumberFormat="1" applyFont="1" applyFill="1" applyBorder="1" applyAlignment="1">
      <alignment horizontal="left" vertical="center" wrapText="1"/>
    </xf>
    <xf numFmtId="9" fontId="31" fillId="10" borderId="33" xfId="0" applyNumberFormat="1" applyFont="1" applyFill="1" applyBorder="1" applyAlignment="1">
      <alignment horizontal="center" vertical="center" wrapText="1"/>
    </xf>
    <xf numFmtId="166" fontId="31" fillId="10" borderId="33" xfId="0" applyNumberFormat="1" applyFont="1" applyFill="1" applyBorder="1" applyAlignment="1">
      <alignment horizontal="center" vertical="center" wrapText="1"/>
    </xf>
    <xf numFmtId="0" fontId="31" fillId="10" borderId="34" xfId="0" applyFont="1" applyFill="1" applyBorder="1" applyAlignment="1">
      <alignment horizontal="center" vertical="center" wrapText="1"/>
    </xf>
    <xf numFmtId="166" fontId="33" fillId="2" borderId="28" xfId="0" applyNumberFormat="1" applyFont="1" applyFill="1" applyBorder="1" applyAlignment="1">
      <alignment horizontal="left" vertical="center" wrapText="1"/>
    </xf>
    <xf numFmtId="166" fontId="26" fillId="2" borderId="12" xfId="0" applyNumberFormat="1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0" fontId="26" fillId="2" borderId="35" xfId="0" applyFont="1" applyFill="1" applyBorder="1" applyAlignment="1">
      <alignment vertical="center" wrapText="1"/>
    </xf>
    <xf numFmtId="0" fontId="19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37" fillId="0" borderId="38" xfId="0" applyFont="1" applyBorder="1" applyAlignment="1">
      <alignment vertical="center" wrapText="1"/>
    </xf>
    <xf numFmtId="0" fontId="37" fillId="0" borderId="41" xfId="0" applyFont="1" applyBorder="1" applyAlignment="1">
      <alignment vertical="center" wrapText="1"/>
    </xf>
    <xf numFmtId="0" fontId="38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35" fillId="0" borderId="36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6" fillId="0" borderId="38" xfId="0" applyFont="1" applyBorder="1" applyAlignment="1">
      <alignment vertical="center" wrapText="1"/>
    </xf>
    <xf numFmtId="0" fontId="36" fillId="0" borderId="4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9" fillId="0" borderId="0" xfId="0" applyFont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 wrapText="1"/>
    </xf>
    <xf numFmtId="0" fontId="8" fillId="0" borderId="11" xfId="0" applyFont="1" applyBorder="1"/>
    <xf numFmtId="0" fontId="23" fillId="2" borderId="15" xfId="0" applyFont="1" applyFill="1" applyBorder="1" applyAlignment="1">
      <alignment horizontal="center" vertical="center" wrapText="1"/>
    </xf>
    <xf numFmtId="0" fontId="8" fillId="0" borderId="16" xfId="0" applyFont="1" applyBorder="1"/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wrapText="1"/>
    </xf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horizontal="left" wrapText="1"/>
    </xf>
    <xf numFmtId="0" fontId="41" fillId="0" borderId="0" xfId="0" applyFont="1" applyAlignment="1"/>
    <xf numFmtId="0" fontId="40" fillId="0" borderId="0" xfId="0" applyFont="1" applyAlignment="1">
      <alignment wrapText="1"/>
    </xf>
    <xf numFmtId="0" fontId="40" fillId="0" borderId="42" xfId="0" applyFont="1" applyBorder="1" applyAlignment="1">
      <alignment horizontal="center" wrapText="1"/>
    </xf>
    <xf numFmtId="0" fontId="42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36" xfId="0" applyFont="1" applyBorder="1" applyAlignment="1">
      <alignment vertical="center" wrapText="1"/>
    </xf>
    <xf numFmtId="0" fontId="36" fillId="0" borderId="39" xfId="0" applyFont="1" applyBorder="1" applyAlignment="1">
      <alignment vertical="center" wrapText="1"/>
    </xf>
  </cellXfs>
  <cellStyles count="1">
    <cellStyle name="Normal" xfId="0" builtinId="0"/>
  </cellStyles>
  <dxfs count="10">
    <dxf>
      <fill>
        <patternFill patternType="solid">
          <fgColor rgb="FF3969AD"/>
          <bgColor rgb="FF3969AD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none"/>
      </fill>
      <border>
        <right style="thin">
          <color rgb="FFD8D8D8"/>
        </right>
      </border>
    </dxf>
    <dxf>
      <fill>
        <patternFill patternType="solid">
          <fgColor rgb="FF3969AD"/>
          <bgColor rgb="FF3969AD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none"/>
      </fill>
      <border>
        <right style="thin">
          <color rgb="FFD8D8D8"/>
        </right>
      </border>
    </dxf>
    <dxf>
      <fill>
        <patternFill patternType="solid">
          <fgColor rgb="FF3969AD"/>
          <bgColor rgb="FF3969AD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none"/>
      </fill>
      <border>
        <right style="thin">
          <color rgb="FFD8D8D8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BO990"/>
  <sheetViews>
    <sheetView showGridLines="0" tabSelected="1" topLeftCell="B76" zoomScale="85" zoomScaleNormal="85" workbookViewId="0">
      <selection activeCell="G89" sqref="G89"/>
    </sheetView>
  </sheetViews>
  <sheetFormatPr defaultColWidth="14.44140625" defaultRowHeight="15" customHeight="1"/>
  <cols>
    <col min="1" max="1" width="6" customWidth="1"/>
    <col min="2" max="2" width="40.44140625" customWidth="1"/>
    <col min="3" max="3" width="27.6640625" customWidth="1"/>
    <col min="4" max="4" width="30.6640625" customWidth="1"/>
    <col min="5" max="5" width="25.77734375" customWidth="1"/>
    <col min="6" max="6" width="16.5546875" customWidth="1"/>
    <col min="7" max="7" width="19" customWidth="1"/>
    <col min="8" max="8" width="21.33203125" customWidth="1"/>
    <col min="9" max="9" width="14.109375" customWidth="1"/>
    <col min="10" max="10" width="4.6640625" customWidth="1"/>
    <col min="11" max="11" width="5.109375" customWidth="1"/>
    <col min="12" max="12" width="4.44140625" customWidth="1"/>
    <col min="13" max="13" width="5.109375" customWidth="1"/>
    <col min="14" max="22" width="3.44140625" customWidth="1"/>
    <col min="23" max="67" width="4" customWidth="1"/>
  </cols>
  <sheetData>
    <row r="1" spans="1:67" ht="48.75" customHeight="1">
      <c r="A1" s="169" t="s">
        <v>36</v>
      </c>
      <c r="B1" s="170"/>
      <c r="C1" s="170"/>
      <c r="D1" s="170"/>
      <c r="E1" s="170"/>
      <c r="F1" s="170"/>
      <c r="G1" s="170"/>
      <c r="H1" s="170"/>
      <c r="I1" s="170"/>
      <c r="J1" s="1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4" t="s">
        <v>0</v>
      </c>
      <c r="BJ1" s="2"/>
      <c r="BK1" s="2"/>
      <c r="BL1" s="2"/>
      <c r="BM1" s="2"/>
      <c r="BN1" s="2"/>
      <c r="BO1" s="2"/>
    </row>
    <row r="2" spans="1:67" ht="23.25" customHeight="1">
      <c r="A2" s="5">
        <v>1</v>
      </c>
      <c r="B2" s="6" t="s">
        <v>1</v>
      </c>
      <c r="C2" s="6" t="s">
        <v>34</v>
      </c>
      <c r="D2" s="7"/>
      <c r="E2" s="8" t="s">
        <v>2</v>
      </c>
      <c r="F2" s="9"/>
      <c r="G2" s="10">
        <v>45703</v>
      </c>
      <c r="H2" s="7"/>
      <c r="I2" s="11"/>
      <c r="J2" s="1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4"/>
      <c r="BJ2" s="2"/>
      <c r="BK2" s="2"/>
      <c r="BL2" s="2"/>
      <c r="BM2" s="2"/>
      <c r="BN2" s="2"/>
      <c r="BO2" s="2"/>
    </row>
    <row r="3" spans="1:67" ht="21.75" customHeight="1">
      <c r="A3" s="12">
        <v>2</v>
      </c>
      <c r="B3" s="13" t="s">
        <v>3</v>
      </c>
      <c r="C3" s="14">
        <v>2210900095</v>
      </c>
      <c r="D3" s="15"/>
      <c r="E3" s="16" t="s">
        <v>4</v>
      </c>
      <c r="F3" s="17"/>
      <c r="G3" s="18">
        <f>G2+4</f>
        <v>45707</v>
      </c>
      <c r="H3" s="19"/>
      <c r="I3" s="20"/>
      <c r="J3" s="1"/>
      <c r="K3" s="2"/>
      <c r="L3" s="2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4"/>
      <c r="BJ3" s="2"/>
      <c r="BK3" s="2"/>
      <c r="BL3" s="2"/>
      <c r="BM3" s="2"/>
      <c r="BN3" s="2"/>
      <c r="BO3" s="2"/>
    </row>
    <row r="4" spans="1:67" ht="17.25" customHeight="1">
      <c r="A4" s="12">
        <v>3</v>
      </c>
      <c r="B4" s="13" t="s">
        <v>5</v>
      </c>
      <c r="C4" s="14" t="s">
        <v>35</v>
      </c>
      <c r="D4" s="21"/>
      <c r="E4" s="22"/>
      <c r="F4" s="17"/>
      <c r="G4" s="23"/>
      <c r="H4" s="22"/>
      <c r="I4" s="24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67" ht="19.5" customHeight="1">
      <c r="A5" s="25">
        <v>4</v>
      </c>
      <c r="B5" s="26" t="s">
        <v>6</v>
      </c>
      <c r="C5" s="27" t="s">
        <v>7</v>
      </c>
      <c r="D5" s="28"/>
      <c r="E5" s="29"/>
      <c r="F5" s="29"/>
      <c r="G5" s="29"/>
      <c r="H5" s="30"/>
      <c r="I5" s="31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ht="14.25" customHeight="1">
      <c r="A6" s="2"/>
      <c r="B6" s="2"/>
      <c r="C6" s="1"/>
      <c r="D6" s="1"/>
      <c r="E6" s="32"/>
      <c r="F6" s="2"/>
      <c r="G6" s="1"/>
      <c r="H6" s="2"/>
      <c r="I6" s="2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ht="25.5" customHeight="1" thickBot="1">
      <c r="A7" s="1"/>
      <c r="B7" s="189" t="s">
        <v>182</v>
      </c>
      <c r="C7" s="189"/>
      <c r="D7" s="1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</row>
    <row r="8" spans="1:67" ht="24.75" customHeight="1">
      <c r="A8" s="1"/>
      <c r="B8" s="176"/>
      <c r="C8" s="178"/>
      <c r="D8" s="178"/>
      <c r="E8" s="178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</row>
    <row r="9" spans="1:67" ht="24.75" customHeight="1" thickBot="1">
      <c r="A9" s="1"/>
      <c r="B9" s="177" t="s">
        <v>38</v>
      </c>
      <c r="C9" s="179" t="s">
        <v>39</v>
      </c>
      <c r="D9" s="179" t="s">
        <v>40</v>
      </c>
      <c r="E9" s="179" t="s">
        <v>41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</row>
    <row r="10" spans="1:67" ht="24.75" customHeight="1" thickBot="1">
      <c r="A10" s="1"/>
      <c r="B10" s="161" t="s">
        <v>42</v>
      </c>
      <c r="C10" s="162" t="s">
        <v>43</v>
      </c>
      <c r="D10" s="162" t="s">
        <v>44</v>
      </c>
      <c r="E10" s="162" t="s">
        <v>45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</row>
    <row r="11" spans="1:67" ht="25.5" customHeight="1" thickBot="1">
      <c r="A11" s="1"/>
      <c r="B11" s="161" t="s">
        <v>46</v>
      </c>
      <c r="C11" s="162" t="s">
        <v>47</v>
      </c>
      <c r="D11" s="162" t="s">
        <v>48</v>
      </c>
      <c r="E11" s="162" t="s">
        <v>49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</row>
    <row r="12" spans="1:67" ht="18.75" customHeight="1" thickBot="1">
      <c r="A12" s="1"/>
      <c r="B12" s="161" t="s">
        <v>183</v>
      </c>
      <c r="C12" s="162" t="s">
        <v>59</v>
      </c>
      <c r="D12" s="162" t="s">
        <v>51</v>
      </c>
      <c r="E12" s="162" t="s">
        <v>184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67" ht="18.75" customHeight="1" thickBot="1">
      <c r="A13" s="1"/>
      <c r="B13" s="161" t="s">
        <v>52</v>
      </c>
      <c r="C13" s="162" t="s">
        <v>50</v>
      </c>
      <c r="D13" s="162" t="s">
        <v>185</v>
      </c>
      <c r="E13" s="162" t="s">
        <v>53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67" ht="18.75" customHeight="1" thickBot="1">
      <c r="A14" s="1"/>
      <c r="B14" s="161" t="s">
        <v>54</v>
      </c>
      <c r="C14" s="162" t="s">
        <v>50</v>
      </c>
      <c r="D14" s="162" t="s">
        <v>185</v>
      </c>
      <c r="E14" s="162" t="s">
        <v>54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67" ht="25.5" customHeight="1" thickBot="1">
      <c r="A15" s="1"/>
      <c r="B15" s="161" t="s">
        <v>55</v>
      </c>
      <c r="C15" s="162" t="s">
        <v>56</v>
      </c>
      <c r="D15" s="162" t="s">
        <v>185</v>
      </c>
      <c r="E15" s="162" t="s">
        <v>57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</row>
    <row r="16" spans="1:67" ht="21" customHeight="1" thickBot="1">
      <c r="A16" s="1"/>
      <c r="B16" s="161" t="s">
        <v>58</v>
      </c>
      <c r="C16" s="162" t="s">
        <v>59</v>
      </c>
      <c r="D16" s="162" t="s">
        <v>185</v>
      </c>
      <c r="E16" s="162" t="s">
        <v>186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67" ht="21" customHeight="1" thickBot="1">
      <c r="A17" s="1"/>
      <c r="B17" s="161" t="s">
        <v>60</v>
      </c>
      <c r="C17" s="162" t="s">
        <v>61</v>
      </c>
      <c r="D17" s="162" t="s">
        <v>187</v>
      </c>
      <c r="E17" s="162" t="s">
        <v>188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spans="1:67" ht="25.5" customHeight="1" thickBot="1">
      <c r="A18" s="1"/>
      <c r="B18" s="161" t="s">
        <v>189</v>
      </c>
      <c r="C18" s="162" t="s">
        <v>131</v>
      </c>
      <c r="D18" s="162" t="s">
        <v>190</v>
      </c>
      <c r="E18" s="162" t="s">
        <v>191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</row>
    <row r="19" spans="1:67" ht="20.25" customHeight="1">
      <c r="A19" s="1"/>
      <c r="B19" s="184"/>
      <c r="C19" s="184"/>
      <c r="D19" s="185"/>
      <c r="E19" s="18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spans="1:67" ht="20.25" customHeight="1" thickBot="1">
      <c r="A20" s="163"/>
      <c r="B20" s="189" t="s">
        <v>192</v>
      </c>
      <c r="C20" s="189"/>
      <c r="D20" s="185"/>
      <c r="E20" s="186"/>
      <c r="F20" s="2"/>
      <c r="G20" s="1"/>
      <c r="H20" s="2"/>
      <c r="I20" s="2"/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25.5" customHeight="1">
      <c r="A21" s="163"/>
      <c r="B21" s="176"/>
      <c r="C21" s="178"/>
      <c r="D21" s="178"/>
      <c r="E21" s="178"/>
      <c r="F21" s="1"/>
      <c r="G21" s="2"/>
      <c r="H21" s="2"/>
      <c r="I21" s="1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</row>
    <row r="22" spans="1:67" ht="21" customHeight="1" thickBot="1">
      <c r="A22" s="163"/>
      <c r="B22" s="177" t="s">
        <v>38</v>
      </c>
      <c r="C22" s="179" t="s">
        <v>39</v>
      </c>
      <c r="D22" s="179" t="s">
        <v>40</v>
      </c>
      <c r="E22" s="179" t="s">
        <v>41</v>
      </c>
      <c r="F22" s="2"/>
      <c r="G22" s="1"/>
      <c r="H22" s="2"/>
      <c r="I22" s="2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ht="21" customHeight="1" thickBot="1">
      <c r="A23" s="163"/>
      <c r="B23" s="161" t="s">
        <v>64</v>
      </c>
      <c r="C23" s="162" t="s">
        <v>43</v>
      </c>
      <c r="D23" s="162" t="s">
        <v>44</v>
      </c>
      <c r="E23" s="162" t="s">
        <v>65</v>
      </c>
      <c r="F23" s="2"/>
      <c r="G23" s="1"/>
      <c r="H23" s="2"/>
      <c r="I23" s="2"/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4.25" customHeight="1" thickBot="1">
      <c r="A24" s="163"/>
      <c r="B24" s="161" t="s">
        <v>66</v>
      </c>
      <c r="C24" s="162" t="s">
        <v>50</v>
      </c>
      <c r="D24" s="162" t="s">
        <v>51</v>
      </c>
      <c r="E24" s="162" t="s">
        <v>67</v>
      </c>
      <c r="F24" s="2"/>
      <c r="G24" s="1"/>
      <c r="H24" s="2"/>
      <c r="I24" s="2"/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4.25" customHeight="1" thickBot="1">
      <c r="A25" s="163"/>
      <c r="B25" s="161" t="s">
        <v>68</v>
      </c>
      <c r="C25" s="162" t="s">
        <v>43</v>
      </c>
      <c r="D25" s="162" t="s">
        <v>185</v>
      </c>
      <c r="E25" s="162" t="s">
        <v>69</v>
      </c>
      <c r="F25" s="2"/>
      <c r="G25" s="1"/>
      <c r="H25" s="2"/>
      <c r="I25" s="2"/>
      <c r="J25" s="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4.25" customHeight="1">
      <c r="A26" s="163"/>
      <c r="B26" s="184"/>
      <c r="C26" s="185"/>
      <c r="D26" s="185"/>
      <c r="E26" s="186"/>
      <c r="F26" s="2"/>
      <c r="G26" s="1"/>
      <c r="H26" s="2"/>
      <c r="I26" s="2"/>
      <c r="J26" s="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8.600000000000001" customHeight="1" thickBot="1">
      <c r="A27" s="163"/>
      <c r="B27" s="189" t="s">
        <v>212</v>
      </c>
      <c r="C27" s="189"/>
      <c r="D27" s="187"/>
      <c r="E27" s="187"/>
      <c r="F27" s="2"/>
      <c r="G27" s="1"/>
      <c r="H27" s="2"/>
      <c r="I27" s="2"/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4.25" customHeight="1" thickBot="1">
      <c r="A28" s="163"/>
      <c r="B28" s="165" t="s">
        <v>38</v>
      </c>
      <c r="C28" s="166" t="s">
        <v>39</v>
      </c>
      <c r="D28" s="166" t="s">
        <v>40</v>
      </c>
      <c r="E28" s="166" t="s">
        <v>41</v>
      </c>
      <c r="F28" s="2"/>
      <c r="G28" s="1"/>
      <c r="H28" s="2"/>
      <c r="I28" s="2"/>
      <c r="J28" s="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4.25" customHeight="1" thickBot="1">
      <c r="A29" s="163"/>
      <c r="B29" s="161" t="s">
        <v>193</v>
      </c>
      <c r="C29" s="162" t="s">
        <v>43</v>
      </c>
      <c r="D29" s="162" t="s">
        <v>44</v>
      </c>
      <c r="E29" s="162" t="s">
        <v>194</v>
      </c>
      <c r="F29" s="2"/>
      <c r="G29" s="1"/>
      <c r="H29" s="2"/>
      <c r="I29" s="2"/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4.25" customHeight="1" thickBot="1">
      <c r="A30" s="163"/>
      <c r="B30" s="161" t="s">
        <v>195</v>
      </c>
      <c r="C30" s="162" t="s">
        <v>47</v>
      </c>
      <c r="D30" s="162" t="s">
        <v>48</v>
      </c>
      <c r="E30" s="162" t="s">
        <v>196</v>
      </c>
      <c r="F30" s="2"/>
      <c r="G30" s="1"/>
      <c r="H30" s="2"/>
      <c r="I30" s="2"/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ht="14.25" customHeight="1">
      <c r="A31" s="164"/>
      <c r="B31" s="182"/>
      <c r="C31" s="187"/>
      <c r="D31" s="187"/>
      <c r="E31" s="187"/>
      <c r="F31" s="2"/>
      <c r="G31" s="1"/>
      <c r="H31" s="2"/>
      <c r="I31" s="2"/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ht="20.399999999999999" customHeight="1" thickBot="1">
      <c r="A32" s="163"/>
      <c r="B32" s="189" t="s">
        <v>213</v>
      </c>
      <c r="C32" s="189"/>
      <c r="D32" s="187"/>
      <c r="E32" s="187"/>
      <c r="F32" s="2"/>
      <c r="G32" s="1"/>
      <c r="H32" s="2"/>
      <c r="I32" s="2"/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ht="14.25" customHeight="1">
      <c r="A33" s="163"/>
      <c r="B33" s="176"/>
      <c r="C33" s="178"/>
      <c r="D33" s="178"/>
      <c r="E33" s="178"/>
      <c r="F33" s="2"/>
      <c r="G33" s="1"/>
      <c r="H33" s="2"/>
      <c r="I33" s="2"/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ht="14.25" customHeight="1" thickBot="1">
      <c r="A34" s="163"/>
      <c r="B34" s="177" t="s">
        <v>38</v>
      </c>
      <c r="C34" s="179" t="s">
        <v>39</v>
      </c>
      <c r="D34" s="179" t="s">
        <v>40</v>
      </c>
      <c r="E34" s="179" t="s">
        <v>41</v>
      </c>
      <c r="F34" s="2"/>
      <c r="G34" s="1"/>
      <c r="H34" s="2"/>
      <c r="I34" s="2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ht="14.25" customHeight="1" thickBot="1">
      <c r="A35" s="163"/>
      <c r="B35" s="167" t="s">
        <v>42</v>
      </c>
      <c r="C35" s="168" t="s">
        <v>43</v>
      </c>
      <c r="D35" s="168" t="s">
        <v>197</v>
      </c>
      <c r="E35" s="168" t="s">
        <v>45</v>
      </c>
      <c r="F35" s="2"/>
      <c r="G35" s="1"/>
      <c r="H35" s="2"/>
      <c r="I35" s="2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4.25" customHeight="1" thickBot="1">
      <c r="A36" s="2"/>
      <c r="B36" s="167" t="s">
        <v>193</v>
      </c>
      <c r="C36" s="168" t="s">
        <v>43</v>
      </c>
      <c r="D36" s="168" t="s">
        <v>197</v>
      </c>
      <c r="E36" s="168" t="s">
        <v>194</v>
      </c>
      <c r="F36" s="2"/>
      <c r="G36" s="1"/>
      <c r="H36" s="2"/>
      <c r="I36" s="2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4.25" customHeight="1">
      <c r="A37" s="2"/>
      <c r="B37" s="181"/>
      <c r="C37" s="187"/>
      <c r="D37" s="187"/>
      <c r="E37" s="187"/>
      <c r="F37" s="2"/>
      <c r="G37" s="1"/>
      <c r="H37" s="2"/>
      <c r="I37" s="2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4.25" customHeight="1">
      <c r="A38" s="2"/>
      <c r="B38" s="180"/>
      <c r="C38" s="187"/>
      <c r="D38" s="187"/>
      <c r="E38" s="187"/>
      <c r="F38" s="2"/>
      <c r="G38" s="1"/>
      <c r="H38" s="2"/>
      <c r="I38" s="2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4.25" customHeight="1">
      <c r="A39" s="2"/>
      <c r="B39" s="187"/>
      <c r="C39" s="187"/>
      <c r="D39" s="187"/>
      <c r="E39" s="187"/>
      <c r="F39" s="2"/>
      <c r="G39" s="1"/>
      <c r="H39" s="2"/>
      <c r="I39" s="2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4.25" customHeight="1">
      <c r="A40" s="2"/>
      <c r="B40" s="183"/>
      <c r="C40" s="187"/>
      <c r="D40" s="187"/>
      <c r="E40" s="187"/>
      <c r="F40" s="2"/>
      <c r="G40" s="1"/>
      <c r="H40" s="2"/>
      <c r="I40" s="2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8.600000000000001" customHeight="1" thickBot="1">
      <c r="A41" s="2"/>
      <c r="B41" s="189" t="s">
        <v>214</v>
      </c>
      <c r="C41" s="189"/>
      <c r="D41" s="187"/>
      <c r="E41" s="187"/>
      <c r="F41" s="2"/>
      <c r="G41" s="1"/>
      <c r="H41" s="2"/>
      <c r="I41" s="2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4.25" customHeight="1" thickBot="1">
      <c r="A42" s="2"/>
      <c r="B42" s="165" t="s">
        <v>38</v>
      </c>
      <c r="C42" s="166" t="s">
        <v>39</v>
      </c>
      <c r="D42" s="166" t="s">
        <v>40</v>
      </c>
      <c r="E42" s="166" t="s">
        <v>41</v>
      </c>
      <c r="F42" s="2"/>
      <c r="G42" s="1"/>
      <c r="H42" s="2"/>
      <c r="I42" s="2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4.25" customHeight="1" thickBot="1">
      <c r="A43" s="2"/>
      <c r="B43" s="167" t="s">
        <v>70</v>
      </c>
      <c r="C43" s="168" t="s">
        <v>43</v>
      </c>
      <c r="D43" s="168" t="s">
        <v>44</v>
      </c>
      <c r="E43" s="168" t="s">
        <v>71</v>
      </c>
      <c r="F43" s="2"/>
      <c r="G43" s="1"/>
      <c r="H43" s="2"/>
      <c r="I43" s="2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4.25" customHeight="1" thickBot="1">
      <c r="A44" s="2"/>
      <c r="B44" s="167" t="s">
        <v>72</v>
      </c>
      <c r="C44" s="168" t="s">
        <v>73</v>
      </c>
      <c r="D44" s="168" t="s">
        <v>51</v>
      </c>
      <c r="E44" s="168" t="s">
        <v>74</v>
      </c>
      <c r="F44" s="2"/>
      <c r="G44" s="1"/>
      <c r="H44" s="2"/>
      <c r="I44" s="2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4.25" customHeight="1" thickBot="1">
      <c r="A45" s="2"/>
      <c r="B45" s="167" t="s">
        <v>64</v>
      </c>
      <c r="C45" s="168" t="s">
        <v>43</v>
      </c>
      <c r="D45" s="168" t="s">
        <v>198</v>
      </c>
      <c r="E45" s="168" t="s">
        <v>199</v>
      </c>
      <c r="F45" s="2"/>
      <c r="G45" s="1"/>
      <c r="H45" s="2"/>
      <c r="I45" s="2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ht="14.25" customHeight="1" thickBot="1">
      <c r="A46" s="2"/>
      <c r="B46" s="167" t="s">
        <v>75</v>
      </c>
      <c r="C46" s="168" t="s">
        <v>76</v>
      </c>
      <c r="D46" s="168" t="s">
        <v>51</v>
      </c>
      <c r="E46" s="168" t="s">
        <v>77</v>
      </c>
      <c r="F46" s="2"/>
      <c r="G46" s="1"/>
      <c r="H46" s="2"/>
      <c r="I46" s="2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ht="14.25" customHeight="1" thickBot="1">
      <c r="A47" s="2"/>
      <c r="B47" s="167" t="s">
        <v>200</v>
      </c>
      <c r="C47" s="168" t="s">
        <v>43</v>
      </c>
      <c r="D47" s="168" t="s">
        <v>201</v>
      </c>
      <c r="E47" s="168" t="s">
        <v>79</v>
      </c>
      <c r="F47" s="2"/>
      <c r="G47" s="1"/>
      <c r="H47" s="2"/>
      <c r="I47" s="2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4.25" customHeight="1" thickBot="1">
      <c r="A48" s="2"/>
      <c r="B48" s="167" t="s">
        <v>63</v>
      </c>
      <c r="C48" s="168" t="s">
        <v>56</v>
      </c>
      <c r="D48" s="168" t="s">
        <v>202</v>
      </c>
      <c r="E48" s="168" t="s">
        <v>203</v>
      </c>
      <c r="F48" s="2"/>
      <c r="G48" s="1"/>
      <c r="H48" s="2"/>
      <c r="I48" s="2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ht="14.25" customHeight="1" thickBot="1">
      <c r="A49" s="2"/>
      <c r="B49" s="167" t="s">
        <v>80</v>
      </c>
      <c r="C49" s="168" t="s">
        <v>59</v>
      </c>
      <c r="D49" s="168" t="s">
        <v>185</v>
      </c>
      <c r="E49" s="168" t="s">
        <v>81</v>
      </c>
      <c r="F49" s="2"/>
      <c r="G49" s="1"/>
      <c r="H49" s="2"/>
      <c r="I49" s="2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4.25" customHeight="1" thickBot="1">
      <c r="A50" s="2"/>
      <c r="B50" s="167" t="s">
        <v>82</v>
      </c>
      <c r="C50" s="168" t="s">
        <v>204</v>
      </c>
      <c r="D50" s="168" t="s">
        <v>185</v>
      </c>
      <c r="E50" s="168" t="s">
        <v>41</v>
      </c>
      <c r="F50" s="2"/>
      <c r="G50" s="1"/>
      <c r="H50" s="2"/>
      <c r="I50" s="2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4.25" customHeight="1" thickBot="1">
      <c r="A51" s="2"/>
      <c r="B51" s="167" t="s">
        <v>60</v>
      </c>
      <c r="C51" s="168" t="s">
        <v>61</v>
      </c>
      <c r="D51" s="168" t="s">
        <v>187</v>
      </c>
      <c r="E51" s="168" t="s">
        <v>188</v>
      </c>
      <c r="F51" s="2"/>
      <c r="G51" s="1"/>
      <c r="H51" s="2"/>
      <c r="I51" s="2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4.25" customHeight="1">
      <c r="A52" s="2"/>
      <c r="B52" s="180"/>
      <c r="C52" s="187"/>
      <c r="D52" s="187"/>
      <c r="E52" s="187"/>
      <c r="F52" s="2"/>
      <c r="G52" s="1"/>
      <c r="H52" s="2"/>
      <c r="I52" s="2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9.2" customHeight="1" thickBot="1">
      <c r="A53" s="2"/>
      <c r="B53" s="189" t="s">
        <v>215</v>
      </c>
      <c r="C53" s="189"/>
      <c r="D53" s="187"/>
      <c r="E53" s="187"/>
      <c r="F53" s="2"/>
      <c r="G53" s="1"/>
      <c r="H53" s="2"/>
      <c r="I53" s="2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ht="14.25" customHeight="1" thickBot="1">
      <c r="A54" s="2"/>
      <c r="B54" s="165" t="s">
        <v>38</v>
      </c>
      <c r="C54" s="166" t="s">
        <v>39</v>
      </c>
      <c r="D54" s="166" t="s">
        <v>40</v>
      </c>
      <c r="E54" s="166" t="s">
        <v>41</v>
      </c>
      <c r="F54" s="2"/>
      <c r="G54" s="1"/>
      <c r="H54" s="2"/>
      <c r="I54" s="2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4.25" customHeight="1" thickBot="1">
      <c r="A55" s="2"/>
      <c r="B55" s="167" t="s">
        <v>83</v>
      </c>
      <c r="C55" s="168" t="s">
        <v>43</v>
      </c>
      <c r="D55" s="168" t="s">
        <v>44</v>
      </c>
      <c r="E55" s="168" t="s">
        <v>84</v>
      </c>
      <c r="F55" s="2"/>
      <c r="G55" s="1"/>
      <c r="H55" s="2"/>
      <c r="I55" s="2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ht="14.25" customHeight="1" thickBot="1">
      <c r="A56" s="2"/>
      <c r="B56" s="167" t="s">
        <v>42</v>
      </c>
      <c r="C56" s="168" t="s">
        <v>43</v>
      </c>
      <c r="D56" s="168" t="s">
        <v>198</v>
      </c>
      <c r="E56" s="168" t="s">
        <v>45</v>
      </c>
      <c r="F56" s="2"/>
      <c r="G56" s="1"/>
      <c r="H56" s="2"/>
      <c r="I56" s="2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ht="14.25" customHeight="1" thickBot="1">
      <c r="A57" s="2"/>
      <c r="B57" s="167" t="s">
        <v>60</v>
      </c>
      <c r="C57" s="168" t="s">
        <v>61</v>
      </c>
      <c r="D57" s="168" t="s">
        <v>187</v>
      </c>
      <c r="E57" s="168" t="s">
        <v>188</v>
      </c>
      <c r="F57" s="2"/>
      <c r="G57" s="1"/>
      <c r="H57" s="2"/>
      <c r="I57" s="2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ht="37.799999999999997" customHeight="1" thickBot="1">
      <c r="A58" s="2"/>
      <c r="B58" s="189" t="s">
        <v>216</v>
      </c>
      <c r="C58" s="189"/>
      <c r="D58" s="187"/>
      <c r="E58" s="187"/>
      <c r="F58" s="2"/>
      <c r="G58" s="1"/>
      <c r="H58" s="2"/>
      <c r="I58" s="2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4.25" customHeight="1" thickBot="1">
      <c r="A59" s="2"/>
      <c r="B59" s="165" t="s">
        <v>38</v>
      </c>
      <c r="C59" s="166" t="s">
        <v>39</v>
      </c>
      <c r="D59" s="166" t="s">
        <v>40</v>
      </c>
      <c r="E59" s="166" t="s">
        <v>41</v>
      </c>
      <c r="F59" s="2"/>
      <c r="G59" s="1"/>
      <c r="H59" s="2"/>
      <c r="I59" s="2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4.25" customHeight="1" thickBot="1">
      <c r="A60" s="2"/>
      <c r="B60" s="167" t="s">
        <v>205</v>
      </c>
      <c r="C60" s="168" t="s">
        <v>43</v>
      </c>
      <c r="D60" s="168" t="s">
        <v>44</v>
      </c>
      <c r="E60" s="168" t="s">
        <v>102</v>
      </c>
      <c r="F60" s="2"/>
      <c r="G60" s="1"/>
      <c r="H60" s="2"/>
      <c r="I60" s="2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ht="14.25" customHeight="1" thickBot="1">
      <c r="A61" s="2"/>
      <c r="B61" s="167" t="s">
        <v>83</v>
      </c>
      <c r="C61" s="168" t="s">
        <v>43</v>
      </c>
      <c r="D61" s="168" t="s">
        <v>198</v>
      </c>
      <c r="E61" s="168" t="s">
        <v>84</v>
      </c>
      <c r="F61" s="2"/>
      <c r="G61" s="1"/>
      <c r="H61" s="2"/>
      <c r="I61" s="2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4.25" customHeight="1" thickBot="1">
      <c r="A62" s="2"/>
      <c r="B62" s="167" t="s">
        <v>70</v>
      </c>
      <c r="C62" s="168" t="s">
        <v>43</v>
      </c>
      <c r="D62" s="168" t="s">
        <v>198</v>
      </c>
      <c r="E62" s="168" t="s">
        <v>71</v>
      </c>
      <c r="F62" s="2"/>
      <c r="G62" s="1"/>
      <c r="H62" s="2"/>
      <c r="I62" s="2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4.25" customHeight="1" thickBot="1">
      <c r="A63" s="2"/>
      <c r="B63" s="167" t="s">
        <v>78</v>
      </c>
      <c r="C63" s="168" t="s">
        <v>43</v>
      </c>
      <c r="D63" s="168" t="s">
        <v>51</v>
      </c>
      <c r="E63" s="168" t="s">
        <v>88</v>
      </c>
      <c r="F63" s="2"/>
      <c r="G63" s="1"/>
      <c r="H63" s="2"/>
      <c r="I63" s="2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4.25" customHeight="1">
      <c r="A64" s="2"/>
      <c r="B64" s="183"/>
      <c r="C64" s="187"/>
      <c r="D64" s="187"/>
      <c r="E64" s="187"/>
      <c r="F64" s="2"/>
      <c r="G64" s="1"/>
      <c r="H64" s="2"/>
      <c r="I64" s="2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24.6" customHeight="1" thickBot="1">
      <c r="A65" s="2"/>
      <c r="B65" s="189" t="s">
        <v>217</v>
      </c>
      <c r="C65" s="189"/>
      <c r="D65" s="187"/>
      <c r="E65" s="187"/>
      <c r="F65" s="2"/>
      <c r="G65" s="1"/>
      <c r="H65" s="2"/>
      <c r="I65" s="2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22.8" customHeight="1" thickBot="1">
      <c r="A66" s="2"/>
      <c r="B66" s="165" t="s">
        <v>38</v>
      </c>
      <c r="C66" s="166" t="s">
        <v>39</v>
      </c>
      <c r="D66" s="166" t="s">
        <v>40</v>
      </c>
      <c r="E66" s="166" t="s">
        <v>41</v>
      </c>
      <c r="F66" s="2"/>
      <c r="G66" s="1"/>
      <c r="H66" s="2"/>
      <c r="I66" s="2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4.25" customHeight="1" thickBot="1">
      <c r="A67" s="2"/>
      <c r="B67" s="167" t="s">
        <v>89</v>
      </c>
      <c r="C67" s="168" t="s">
        <v>43</v>
      </c>
      <c r="D67" s="168" t="s">
        <v>44</v>
      </c>
      <c r="E67" s="168" t="s">
        <v>90</v>
      </c>
      <c r="F67" s="2"/>
      <c r="G67" s="1"/>
      <c r="H67" s="2"/>
      <c r="I67" s="2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4.25" customHeight="1" thickBot="1">
      <c r="A68" s="2"/>
      <c r="B68" s="167" t="s">
        <v>91</v>
      </c>
      <c r="C68" s="168" t="s">
        <v>56</v>
      </c>
      <c r="D68" s="168" t="s">
        <v>185</v>
      </c>
      <c r="E68" s="168" t="s">
        <v>206</v>
      </c>
      <c r="F68" s="2"/>
      <c r="G68" s="1"/>
      <c r="H68" s="2"/>
      <c r="I68" s="2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4.25" customHeight="1" thickBot="1">
      <c r="A69" s="2"/>
      <c r="B69" s="167" t="s">
        <v>42</v>
      </c>
      <c r="C69" s="168" t="s">
        <v>43</v>
      </c>
      <c r="D69" s="168" t="s">
        <v>198</v>
      </c>
      <c r="E69" s="168" t="s">
        <v>207</v>
      </c>
      <c r="F69" s="2"/>
      <c r="G69" s="1"/>
      <c r="H69" s="2"/>
      <c r="I69" s="2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4.25" customHeight="1" thickBot="1">
      <c r="A70" s="2"/>
      <c r="B70" s="167" t="s">
        <v>92</v>
      </c>
      <c r="C70" s="168" t="s">
        <v>76</v>
      </c>
      <c r="D70" s="168" t="s">
        <v>51</v>
      </c>
      <c r="E70" s="168" t="s">
        <v>93</v>
      </c>
      <c r="F70" s="2"/>
      <c r="G70" s="1"/>
      <c r="H70" s="2"/>
      <c r="I70" s="2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4.25" customHeight="1" thickBot="1">
      <c r="A71" s="2"/>
      <c r="B71" s="167" t="s">
        <v>63</v>
      </c>
      <c r="C71" s="168" t="s">
        <v>94</v>
      </c>
      <c r="D71" s="168" t="s">
        <v>208</v>
      </c>
      <c r="E71" s="168" t="s">
        <v>203</v>
      </c>
      <c r="F71" s="2"/>
      <c r="G71" s="1"/>
      <c r="H71" s="2"/>
      <c r="I71" s="2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4.25" customHeight="1" thickBot="1">
      <c r="A72" s="2"/>
      <c r="B72" s="167" t="s">
        <v>95</v>
      </c>
      <c r="C72" s="168" t="s">
        <v>61</v>
      </c>
      <c r="D72" s="168" t="s">
        <v>187</v>
      </c>
      <c r="E72" s="168" t="s">
        <v>209</v>
      </c>
      <c r="F72" s="2"/>
      <c r="G72" s="1"/>
      <c r="H72" s="2"/>
      <c r="I72" s="2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4.25" customHeight="1" thickBot="1">
      <c r="A73" s="2"/>
      <c r="B73" s="167" t="s">
        <v>96</v>
      </c>
      <c r="C73" s="168" t="s">
        <v>50</v>
      </c>
      <c r="D73" s="168" t="s">
        <v>185</v>
      </c>
      <c r="E73" s="168" t="s">
        <v>97</v>
      </c>
      <c r="F73" s="2"/>
      <c r="G73" s="1"/>
      <c r="H73" s="2"/>
      <c r="I73" s="2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4.25" customHeight="1" thickBot="1">
      <c r="A74" s="2"/>
      <c r="B74" s="167" t="s">
        <v>98</v>
      </c>
      <c r="C74" s="168" t="s">
        <v>56</v>
      </c>
      <c r="D74" s="168" t="s">
        <v>185</v>
      </c>
      <c r="E74" s="168" t="s">
        <v>99</v>
      </c>
      <c r="F74" s="2"/>
      <c r="G74" s="1"/>
      <c r="H74" s="2"/>
      <c r="I74" s="2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4.25" customHeight="1" thickBot="1">
      <c r="A75" s="2"/>
      <c r="B75" s="167" t="s">
        <v>100</v>
      </c>
      <c r="C75" s="168" t="s">
        <v>59</v>
      </c>
      <c r="D75" s="168" t="s">
        <v>185</v>
      </c>
      <c r="E75" s="168" t="s">
        <v>210</v>
      </c>
      <c r="F75" s="2"/>
      <c r="G75" s="1"/>
      <c r="H75" s="2"/>
      <c r="I75" s="2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4.25" customHeight="1">
      <c r="A76" s="2"/>
      <c r="B76" s="180"/>
      <c r="C76" s="187"/>
      <c r="D76" s="187"/>
      <c r="E76" s="187"/>
      <c r="F76" s="2"/>
      <c r="G76" s="1"/>
      <c r="H76" s="2"/>
      <c r="I76" s="2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4.25" customHeight="1">
      <c r="A77" s="2"/>
      <c r="B77" s="183"/>
      <c r="C77" s="187"/>
      <c r="D77" s="187"/>
      <c r="E77" s="187"/>
      <c r="F77" s="2"/>
      <c r="G77" s="1"/>
      <c r="H77" s="2"/>
      <c r="I77" s="2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32.4" customHeight="1" thickBot="1">
      <c r="A78" s="2"/>
      <c r="B78" s="189" t="s">
        <v>218</v>
      </c>
      <c r="C78" s="189"/>
      <c r="D78" s="187"/>
      <c r="E78" s="187"/>
      <c r="F78" s="2"/>
      <c r="G78" s="1"/>
      <c r="H78" s="2"/>
      <c r="I78" s="2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14.25" customHeight="1" thickBot="1">
      <c r="A79" s="2"/>
      <c r="B79" s="165" t="s">
        <v>38</v>
      </c>
      <c r="C79" s="166" t="s">
        <v>39</v>
      </c>
      <c r="D79" s="166" t="s">
        <v>40</v>
      </c>
      <c r="E79" s="166" t="s">
        <v>41</v>
      </c>
      <c r="F79" s="2"/>
      <c r="G79" s="1"/>
      <c r="H79" s="2"/>
      <c r="I79" s="2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4.25" customHeight="1" thickBot="1">
      <c r="A80" s="2"/>
      <c r="B80" s="167" t="s">
        <v>101</v>
      </c>
      <c r="C80" s="168" t="s">
        <v>43</v>
      </c>
      <c r="D80" s="168" t="s">
        <v>44</v>
      </c>
      <c r="E80" s="168" t="s">
        <v>102</v>
      </c>
      <c r="F80" s="2"/>
      <c r="G80" s="1"/>
      <c r="H80" s="2"/>
      <c r="I80" s="2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4.25" customHeight="1" thickBot="1">
      <c r="A81" s="2"/>
      <c r="B81" s="167" t="s">
        <v>89</v>
      </c>
      <c r="C81" s="168" t="s">
        <v>43</v>
      </c>
      <c r="D81" s="168" t="s">
        <v>198</v>
      </c>
      <c r="E81" s="168" t="s">
        <v>90</v>
      </c>
      <c r="F81" s="2"/>
      <c r="G81" s="1"/>
      <c r="H81" s="2"/>
      <c r="I81" s="2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4.25" customHeight="1" thickBot="1">
      <c r="A82" s="2"/>
      <c r="B82" s="167" t="s">
        <v>70</v>
      </c>
      <c r="C82" s="168" t="s">
        <v>43</v>
      </c>
      <c r="D82" s="168" t="s">
        <v>198</v>
      </c>
      <c r="E82" s="168" t="s">
        <v>71</v>
      </c>
      <c r="F82" s="2"/>
      <c r="G82" s="1"/>
      <c r="H82" s="2"/>
      <c r="I82" s="2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14.25" customHeight="1" thickBot="1">
      <c r="A83" s="2"/>
      <c r="B83" s="167" t="s">
        <v>78</v>
      </c>
      <c r="C83" s="168" t="s">
        <v>43</v>
      </c>
      <c r="D83" s="168" t="s">
        <v>51</v>
      </c>
      <c r="E83" s="168" t="s">
        <v>88</v>
      </c>
      <c r="F83" s="2"/>
      <c r="G83" s="1"/>
      <c r="H83" s="2"/>
      <c r="I83" s="2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4.25" customHeight="1" thickBot="1">
      <c r="A84" s="2"/>
      <c r="B84" s="167" t="s">
        <v>104</v>
      </c>
      <c r="C84" s="168" t="s">
        <v>76</v>
      </c>
      <c r="D84" s="168" t="s">
        <v>51</v>
      </c>
      <c r="E84" s="168" t="s">
        <v>211</v>
      </c>
      <c r="F84" s="2"/>
      <c r="G84" s="1"/>
      <c r="H84" s="2"/>
      <c r="I84" s="2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4.25" customHeight="1">
      <c r="A85" s="2"/>
      <c r="B85" s="180"/>
      <c r="C85" s="187"/>
      <c r="D85" s="187"/>
      <c r="E85" s="187"/>
      <c r="F85" s="2"/>
      <c r="G85" s="1"/>
      <c r="H85" s="2"/>
      <c r="I85" s="2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ht="31.2" customHeight="1" thickBot="1">
      <c r="A86" s="2"/>
      <c r="B86" s="189" t="s">
        <v>219</v>
      </c>
      <c r="C86" s="189"/>
      <c r="D86" s="187"/>
      <c r="E86" s="187"/>
      <c r="F86" s="2"/>
      <c r="G86" s="1"/>
      <c r="H86" s="2"/>
      <c r="I86" s="2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ht="14.25" customHeight="1">
      <c r="A87" s="2"/>
      <c r="B87" s="176"/>
      <c r="C87" s="178"/>
      <c r="D87" s="178"/>
      <c r="E87" s="178"/>
      <c r="F87" s="2"/>
      <c r="G87" s="1"/>
      <c r="H87" s="2"/>
      <c r="I87" s="2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4.25" customHeight="1" thickBot="1">
      <c r="A88" s="2"/>
      <c r="B88" s="177" t="s">
        <v>38</v>
      </c>
      <c r="C88" s="179" t="s">
        <v>39</v>
      </c>
      <c r="D88" s="179" t="s">
        <v>40</v>
      </c>
      <c r="E88" s="179" t="s">
        <v>41</v>
      </c>
      <c r="F88" s="2"/>
      <c r="G88" s="1"/>
      <c r="H88" s="2"/>
      <c r="I88" s="2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14.25" customHeight="1" thickBot="1">
      <c r="A89" s="2"/>
      <c r="B89" s="161" t="s">
        <v>105</v>
      </c>
      <c r="C89" s="162" t="s">
        <v>43</v>
      </c>
      <c r="D89" s="162" t="s">
        <v>44</v>
      </c>
      <c r="E89" s="162" t="s">
        <v>106</v>
      </c>
      <c r="F89" s="2"/>
      <c r="G89" s="1"/>
      <c r="H89" s="2"/>
      <c r="I89" s="2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19.8" customHeight="1" thickBot="1">
      <c r="A90" s="2"/>
      <c r="B90" s="161" t="s">
        <v>89</v>
      </c>
      <c r="C90" s="162" t="s">
        <v>43</v>
      </c>
      <c r="D90" s="162" t="s">
        <v>103</v>
      </c>
      <c r="E90" s="162" t="s">
        <v>90</v>
      </c>
      <c r="F90" s="2"/>
      <c r="G90" s="1"/>
      <c r="H90" s="188"/>
      <c r="I90" s="2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14.25" customHeight="1" thickBot="1">
      <c r="A91" s="2"/>
      <c r="B91" s="161" t="s">
        <v>63</v>
      </c>
      <c r="C91" s="162" t="s">
        <v>47</v>
      </c>
      <c r="D91" s="162" t="s">
        <v>185</v>
      </c>
      <c r="E91" s="162" t="s">
        <v>107</v>
      </c>
      <c r="F91" s="2"/>
      <c r="G91" s="1"/>
      <c r="H91" s="2"/>
      <c r="I91" s="2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14.25" customHeight="1" thickBot="1">
      <c r="A92" s="2"/>
      <c r="B92" s="161" t="s">
        <v>108</v>
      </c>
      <c r="C92" s="162" t="s">
        <v>61</v>
      </c>
      <c r="D92" s="162" t="s">
        <v>62</v>
      </c>
      <c r="E92" s="162" t="s">
        <v>109</v>
      </c>
      <c r="F92" s="2"/>
      <c r="G92" s="1"/>
      <c r="H92" s="2"/>
      <c r="I92" s="2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ht="14.25" customHeight="1">
      <c r="A93" s="2"/>
      <c r="B93" s="183"/>
      <c r="C93" s="187"/>
      <c r="D93" s="187"/>
      <c r="E93" s="187"/>
      <c r="F93" s="2"/>
      <c r="G93" s="1"/>
      <c r="H93" s="2"/>
      <c r="I93" s="2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ht="37.799999999999997" customHeight="1" thickBot="1">
      <c r="A94" s="2"/>
      <c r="B94" s="189" t="s">
        <v>220</v>
      </c>
      <c r="C94" s="189"/>
      <c r="D94" s="187"/>
      <c r="E94" s="187"/>
      <c r="F94" s="2"/>
      <c r="G94" s="1"/>
      <c r="H94" s="2"/>
      <c r="I94" s="2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ht="14.25" customHeight="1">
      <c r="A95" s="2"/>
      <c r="B95" s="176"/>
      <c r="C95" s="178"/>
      <c r="D95" s="178"/>
      <c r="E95" s="178"/>
      <c r="F95" s="2"/>
      <c r="G95" s="1"/>
      <c r="H95" s="2"/>
      <c r="I95" s="2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ht="14.25" customHeight="1" thickBot="1">
      <c r="A96" s="2"/>
      <c r="B96" s="177" t="s">
        <v>38</v>
      </c>
      <c r="C96" s="179" t="s">
        <v>39</v>
      </c>
      <c r="D96" s="179" t="s">
        <v>40</v>
      </c>
      <c r="E96" s="179" t="s">
        <v>41</v>
      </c>
      <c r="F96" s="2"/>
      <c r="G96" s="1"/>
      <c r="H96" s="2"/>
      <c r="I96" s="2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ht="14.25" customHeight="1" thickBot="1">
      <c r="A97" s="2"/>
      <c r="B97" s="161" t="s">
        <v>110</v>
      </c>
      <c r="C97" s="162" t="s">
        <v>43</v>
      </c>
      <c r="D97" s="162" t="s">
        <v>44</v>
      </c>
      <c r="E97" s="162" t="s">
        <v>111</v>
      </c>
      <c r="F97" s="2"/>
      <c r="G97" s="1"/>
      <c r="H97" s="2"/>
      <c r="I97" s="2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14.25" customHeight="1" thickBot="1">
      <c r="A98" s="2"/>
      <c r="B98" s="161" t="s">
        <v>42</v>
      </c>
      <c r="C98" s="162" t="s">
        <v>43</v>
      </c>
      <c r="D98" s="162" t="s">
        <v>85</v>
      </c>
      <c r="E98" s="162" t="s">
        <v>112</v>
      </c>
      <c r="F98" s="2"/>
      <c r="G98" s="1"/>
      <c r="H98" s="2"/>
      <c r="I98" s="2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14.25" customHeight="1" thickBot="1">
      <c r="A99" s="2"/>
      <c r="B99" s="161" t="s">
        <v>70</v>
      </c>
      <c r="C99" s="162" t="s">
        <v>43</v>
      </c>
      <c r="D99" s="162" t="s">
        <v>86</v>
      </c>
      <c r="E99" s="162" t="s">
        <v>87</v>
      </c>
      <c r="F99" s="2"/>
      <c r="G99" s="1"/>
      <c r="H99" s="2"/>
      <c r="I99" s="2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14.25" customHeight="1" thickBot="1">
      <c r="A100" s="2"/>
      <c r="B100" s="161" t="s">
        <v>113</v>
      </c>
      <c r="C100" s="162" t="s">
        <v>43</v>
      </c>
      <c r="D100" s="162" t="s">
        <v>114</v>
      </c>
      <c r="E100" s="162" t="s">
        <v>115</v>
      </c>
      <c r="F100" s="2"/>
      <c r="G100" s="1"/>
      <c r="H100" s="2"/>
      <c r="I100" s="2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4.25" customHeight="1" thickBot="1">
      <c r="A101" s="2"/>
      <c r="B101" s="161" t="s">
        <v>116</v>
      </c>
      <c r="C101" s="162" t="s">
        <v>117</v>
      </c>
      <c r="D101" s="162" t="s">
        <v>185</v>
      </c>
      <c r="E101" s="162" t="s">
        <v>118</v>
      </c>
      <c r="F101" s="2"/>
      <c r="G101" s="1"/>
      <c r="H101" s="2"/>
      <c r="I101" s="2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4.25" customHeight="1" thickBot="1">
      <c r="A102" s="2"/>
      <c r="B102" s="161" t="s">
        <v>60</v>
      </c>
      <c r="C102" s="162" t="s">
        <v>61</v>
      </c>
      <c r="D102" s="162" t="s">
        <v>62</v>
      </c>
      <c r="E102" s="162" t="s">
        <v>119</v>
      </c>
      <c r="F102" s="2"/>
      <c r="G102" s="1"/>
      <c r="H102" s="2"/>
      <c r="I102" s="2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4.25" customHeight="1">
      <c r="A103" s="2"/>
      <c r="B103" s="183"/>
      <c r="C103" s="187"/>
      <c r="D103" s="187"/>
      <c r="E103" s="187"/>
      <c r="F103" s="2"/>
      <c r="G103" s="1"/>
      <c r="H103" s="2"/>
      <c r="I103" s="2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22.8" customHeight="1" thickBot="1">
      <c r="A104" s="2"/>
      <c r="B104" s="189" t="s">
        <v>221</v>
      </c>
      <c r="C104" s="189"/>
      <c r="D104" s="187"/>
      <c r="E104" s="187"/>
      <c r="F104" s="2"/>
      <c r="G104" s="1"/>
      <c r="H104" s="2"/>
      <c r="I104" s="2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4.25" customHeight="1">
      <c r="A105" s="2"/>
      <c r="B105" s="176"/>
      <c r="C105" s="178"/>
      <c r="D105" s="178"/>
      <c r="E105" s="178"/>
      <c r="F105" s="2"/>
      <c r="G105" s="1"/>
      <c r="H105" s="2"/>
      <c r="I105" s="2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4.25" customHeight="1" thickBot="1">
      <c r="A106" s="2"/>
      <c r="B106" s="177" t="s">
        <v>38</v>
      </c>
      <c r="C106" s="179" t="s">
        <v>39</v>
      </c>
      <c r="D106" s="179" t="s">
        <v>40</v>
      </c>
      <c r="E106" s="179" t="s">
        <v>41</v>
      </c>
      <c r="F106" s="2"/>
      <c r="G106" s="1"/>
      <c r="H106" s="2"/>
      <c r="I106" s="2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4.25" customHeight="1" thickBot="1">
      <c r="A107" s="2"/>
      <c r="B107" s="161" t="s">
        <v>120</v>
      </c>
      <c r="C107" s="162" t="s">
        <v>43</v>
      </c>
      <c r="D107" s="162" t="s">
        <v>44</v>
      </c>
      <c r="E107" s="162" t="s">
        <v>121</v>
      </c>
      <c r="F107" s="2"/>
      <c r="G107" s="1"/>
      <c r="H107" s="2"/>
      <c r="I107" s="2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4.25" customHeight="1" thickBot="1">
      <c r="A108" s="2"/>
      <c r="B108" s="161" t="s">
        <v>70</v>
      </c>
      <c r="C108" s="162" t="s">
        <v>43</v>
      </c>
      <c r="D108" s="162" t="s">
        <v>86</v>
      </c>
      <c r="E108" s="162" t="s">
        <v>87</v>
      </c>
      <c r="F108" s="33"/>
      <c r="G108" s="1"/>
      <c r="H108" s="2"/>
      <c r="I108" s="2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4.25" customHeight="1" thickBot="1">
      <c r="A109" s="2"/>
      <c r="B109" s="161" t="s">
        <v>122</v>
      </c>
      <c r="C109" s="162" t="s">
        <v>50</v>
      </c>
      <c r="D109" s="162" t="s">
        <v>185</v>
      </c>
      <c r="E109" s="162" t="s">
        <v>123</v>
      </c>
      <c r="F109" s="33"/>
      <c r="G109" s="1"/>
      <c r="H109" s="2"/>
      <c r="I109" s="2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ht="14.25" customHeight="1" thickBot="1">
      <c r="A110" s="2"/>
      <c r="B110" s="161" t="s">
        <v>124</v>
      </c>
      <c r="C110" s="162" t="s">
        <v>59</v>
      </c>
      <c r="D110" s="162" t="s">
        <v>185</v>
      </c>
      <c r="E110" s="162" t="s">
        <v>125</v>
      </c>
      <c r="F110" s="33"/>
      <c r="G110" s="1"/>
      <c r="H110" s="2"/>
      <c r="I110" s="2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ht="14.25" customHeight="1">
      <c r="A111" s="2"/>
      <c r="B111" s="183"/>
      <c r="C111" s="187"/>
      <c r="D111" s="187"/>
      <c r="E111" s="187"/>
      <c r="F111" s="33"/>
      <c r="G111" s="1"/>
      <c r="H111" s="2"/>
      <c r="I111" s="2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spans="1:67" ht="14.25" customHeight="1" thickBot="1">
      <c r="A112" s="2"/>
      <c r="B112" s="189" t="s">
        <v>142</v>
      </c>
      <c r="C112" s="189"/>
      <c r="D112" s="187"/>
      <c r="E112" s="187"/>
      <c r="F112" s="33"/>
      <c r="G112" s="1"/>
      <c r="H112" s="2"/>
      <c r="I112" s="2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ht="14.25" customHeight="1">
      <c r="A113" s="2"/>
      <c r="B113" s="176"/>
      <c r="C113" s="178"/>
      <c r="D113" s="178"/>
      <c r="E113" s="178"/>
      <c r="F113" s="33"/>
      <c r="G113" s="1"/>
      <c r="H113" s="2"/>
      <c r="I113" s="2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4.25" customHeight="1" thickBot="1">
      <c r="A114" s="2"/>
      <c r="B114" s="177" t="s">
        <v>38</v>
      </c>
      <c r="C114" s="179" t="s">
        <v>39</v>
      </c>
      <c r="D114" s="179" t="s">
        <v>40</v>
      </c>
      <c r="E114" s="179" t="s">
        <v>41</v>
      </c>
      <c r="F114" s="33"/>
      <c r="G114" s="1"/>
      <c r="H114" s="2"/>
      <c r="I114" s="2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ht="14.25" customHeight="1" thickBot="1">
      <c r="A115" s="2"/>
      <c r="B115" s="161" t="s">
        <v>126</v>
      </c>
      <c r="C115" s="162" t="s">
        <v>43</v>
      </c>
      <c r="D115" s="162" t="s">
        <v>44</v>
      </c>
      <c r="E115" s="162" t="s">
        <v>127</v>
      </c>
      <c r="F115" s="33"/>
      <c r="G115" s="1"/>
      <c r="H115" s="2"/>
      <c r="I115" s="2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ht="14.25" customHeight="1" thickBot="1">
      <c r="A116" s="2"/>
      <c r="B116" s="161" t="s">
        <v>42</v>
      </c>
      <c r="C116" s="162" t="s">
        <v>43</v>
      </c>
      <c r="D116" s="162" t="s">
        <v>85</v>
      </c>
      <c r="E116" s="162" t="s">
        <v>97</v>
      </c>
      <c r="F116" s="33"/>
      <c r="G116" s="1"/>
      <c r="H116" s="2"/>
      <c r="I116" s="2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ht="14.25" customHeight="1" thickBot="1">
      <c r="A117" s="2"/>
      <c r="B117" s="161" t="s">
        <v>128</v>
      </c>
      <c r="C117" s="162" t="s">
        <v>59</v>
      </c>
      <c r="D117" s="162" t="s">
        <v>185</v>
      </c>
      <c r="E117" s="162" t="s">
        <v>129</v>
      </c>
      <c r="F117" s="33"/>
      <c r="G117" s="1"/>
      <c r="H117" s="2"/>
      <c r="I117" s="2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ht="14.25" customHeight="1" thickBot="1">
      <c r="A118" s="2"/>
      <c r="B118" s="161" t="s">
        <v>130</v>
      </c>
      <c r="C118" s="162" t="s">
        <v>131</v>
      </c>
      <c r="D118" s="162" t="s">
        <v>132</v>
      </c>
      <c r="E118" s="162" t="s">
        <v>133</v>
      </c>
      <c r="F118" s="33"/>
      <c r="G118" s="1"/>
      <c r="H118" s="2"/>
      <c r="I118" s="2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ht="14.25" customHeight="1" thickBot="1">
      <c r="A119" s="2"/>
      <c r="B119" s="161" t="s">
        <v>60</v>
      </c>
      <c r="C119" s="162" t="s">
        <v>61</v>
      </c>
      <c r="D119" s="162" t="s">
        <v>62</v>
      </c>
      <c r="E119" s="162" t="s">
        <v>134</v>
      </c>
      <c r="F119" s="33"/>
      <c r="G119" s="1"/>
      <c r="H119" s="2"/>
      <c r="I119" s="2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ht="14.25" customHeight="1">
      <c r="A120" s="2"/>
      <c r="B120" s="181"/>
      <c r="C120" s="187"/>
      <c r="D120" s="187"/>
      <c r="E120" s="187"/>
      <c r="F120" s="33"/>
      <c r="G120" s="1"/>
      <c r="H120" s="2"/>
      <c r="I120" s="2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ht="33" customHeight="1" thickBot="1">
      <c r="A121" s="2"/>
      <c r="B121" s="189" t="s">
        <v>222</v>
      </c>
      <c r="C121" s="189"/>
      <c r="D121" s="187"/>
      <c r="E121" s="187"/>
      <c r="F121" s="33"/>
      <c r="G121" s="1"/>
      <c r="H121" s="2"/>
      <c r="I121" s="2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pans="1:67" ht="14.25" customHeight="1" thickBot="1">
      <c r="A122" s="2"/>
      <c r="B122" s="177" t="s">
        <v>135</v>
      </c>
      <c r="C122" s="179" t="s">
        <v>41</v>
      </c>
      <c r="D122" s="187"/>
      <c r="E122" s="187"/>
      <c r="F122" s="33"/>
      <c r="G122" s="1"/>
      <c r="H122" s="2"/>
      <c r="I122" s="2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1:67" ht="14.25" customHeight="1" thickBot="1">
      <c r="A123" s="2"/>
      <c r="B123" s="161" t="s">
        <v>136</v>
      </c>
      <c r="C123" s="162" t="s">
        <v>137</v>
      </c>
      <c r="D123" s="187"/>
      <c r="E123" s="187"/>
      <c r="F123" s="33"/>
      <c r="G123" s="1"/>
      <c r="H123" s="2"/>
      <c r="I123" s="2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pans="1:67" ht="14.25" customHeight="1" thickBot="1">
      <c r="A124" s="2"/>
      <c r="B124" s="161" t="s">
        <v>138</v>
      </c>
      <c r="C124" s="162" t="s">
        <v>139</v>
      </c>
      <c r="D124" s="187"/>
      <c r="E124" s="187"/>
      <c r="F124" s="33"/>
      <c r="G124" s="1"/>
      <c r="H124" s="2"/>
      <c r="I124" s="2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1:67" ht="14.25" customHeight="1" thickBot="1">
      <c r="A125" s="2"/>
      <c r="B125" s="161" t="s">
        <v>140</v>
      </c>
      <c r="C125" s="162" t="s">
        <v>141</v>
      </c>
      <c r="D125" s="187"/>
      <c r="E125" s="187"/>
      <c r="F125" s="33"/>
      <c r="G125" s="1"/>
      <c r="H125" s="2"/>
      <c r="I125" s="2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pans="1:67" ht="14.25" customHeight="1">
      <c r="A126" s="2"/>
      <c r="B126" s="33"/>
      <c r="C126" s="33"/>
      <c r="D126" s="187"/>
      <c r="E126" s="187"/>
      <c r="F126" s="33"/>
      <c r="G126" s="1"/>
      <c r="H126" s="2"/>
      <c r="I126" s="2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spans="1:67" ht="14.25" customHeight="1">
      <c r="A127" s="2"/>
      <c r="B127" s="33"/>
      <c r="C127" s="33"/>
      <c r="D127" s="33"/>
      <c r="E127" s="33"/>
      <c r="F127" s="33"/>
      <c r="G127" s="1"/>
      <c r="H127" s="2"/>
      <c r="I127" s="2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ht="14.25" customHeight="1">
      <c r="A128" s="2"/>
      <c r="B128" s="33"/>
      <c r="C128" s="33"/>
      <c r="D128" s="33"/>
      <c r="E128" s="33"/>
      <c r="F128" s="33"/>
      <c r="G128" s="1"/>
      <c r="H128" s="2"/>
      <c r="I128" s="2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ht="14.25" customHeight="1">
      <c r="A129" s="2"/>
      <c r="B129" s="33"/>
      <c r="C129" s="33"/>
      <c r="D129" s="33"/>
      <c r="E129" s="33"/>
      <c r="F129" s="33"/>
      <c r="G129" s="1"/>
      <c r="H129" s="2"/>
      <c r="I129" s="2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ht="14.25" customHeight="1">
      <c r="A130" s="2"/>
      <c r="B130" s="33"/>
      <c r="C130" s="33"/>
      <c r="D130" s="33"/>
      <c r="E130" s="33"/>
      <c r="F130" s="33"/>
      <c r="G130" s="1"/>
      <c r="H130" s="2"/>
      <c r="I130" s="2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ht="14.25" customHeight="1">
      <c r="A131" s="2"/>
      <c r="B131" s="33"/>
      <c r="C131" s="33"/>
      <c r="D131" s="33"/>
      <c r="E131" s="33"/>
      <c r="F131" s="33"/>
      <c r="G131" s="1"/>
      <c r="H131" s="2"/>
      <c r="I131" s="2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ht="14.25" customHeight="1">
      <c r="A132" s="2"/>
      <c r="B132" s="33"/>
      <c r="C132" s="33"/>
      <c r="D132" s="33"/>
      <c r="E132" s="33"/>
      <c r="F132" s="33"/>
      <c r="G132" s="1"/>
      <c r="H132" s="2"/>
      <c r="I132" s="2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ht="14.25" customHeight="1">
      <c r="A133" s="33"/>
      <c r="B133" s="33"/>
      <c r="C133" s="33"/>
      <c r="D133" s="33"/>
      <c r="E133" s="33"/>
      <c r="F133" s="33"/>
      <c r="G133" s="1"/>
      <c r="H133" s="2"/>
      <c r="I133" s="2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ht="14.25" customHeight="1">
      <c r="A134" s="33"/>
      <c r="B134" s="33"/>
      <c r="C134" s="33"/>
      <c r="D134" s="33"/>
      <c r="E134" s="33"/>
      <c r="F134" s="33"/>
      <c r="G134" s="1"/>
      <c r="H134" s="2"/>
      <c r="I134" s="2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ht="14.25" customHeight="1">
      <c r="A135" s="33"/>
      <c r="B135" s="33"/>
      <c r="C135" s="33"/>
      <c r="D135" s="33"/>
      <c r="E135" s="33"/>
      <c r="F135" s="33"/>
      <c r="G135" s="1"/>
      <c r="H135" s="2"/>
      <c r="I135" s="2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ht="14.25" customHeight="1">
      <c r="A136" s="33"/>
      <c r="B136" s="33"/>
      <c r="C136" s="33"/>
      <c r="D136" s="33"/>
      <c r="E136" s="33"/>
      <c r="F136" s="33"/>
      <c r="G136" s="1"/>
      <c r="H136" s="2"/>
      <c r="I136" s="2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ht="14.25" customHeight="1">
      <c r="A137" s="33"/>
      <c r="B137" s="33"/>
      <c r="C137" s="33"/>
      <c r="D137" s="33"/>
      <c r="E137" s="33"/>
      <c r="F137" s="33"/>
      <c r="G137" s="1"/>
      <c r="H137" s="2"/>
      <c r="I137" s="2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4.25" customHeight="1">
      <c r="A138" s="33"/>
      <c r="B138" s="33"/>
      <c r="C138" s="33"/>
      <c r="D138" s="33"/>
      <c r="E138" s="33"/>
      <c r="F138" s="33"/>
      <c r="G138" s="1"/>
      <c r="H138" s="2"/>
      <c r="I138" s="2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4.25" customHeight="1">
      <c r="A139" s="33"/>
      <c r="B139" s="33"/>
      <c r="C139" s="33"/>
      <c r="D139" s="33"/>
      <c r="E139" s="33"/>
      <c r="F139" s="33"/>
      <c r="G139" s="1"/>
      <c r="H139" s="2"/>
      <c r="I139" s="2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4.25" customHeight="1">
      <c r="A140" s="33"/>
      <c r="B140" s="33"/>
      <c r="C140" s="33"/>
      <c r="D140" s="33"/>
      <c r="E140" s="33"/>
      <c r="F140" s="33"/>
      <c r="G140" s="1"/>
      <c r="H140" s="2"/>
      <c r="I140" s="2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4.25" customHeight="1">
      <c r="A141" s="33"/>
      <c r="B141" s="33"/>
      <c r="C141" s="33"/>
      <c r="D141" s="33"/>
      <c r="E141" s="33"/>
      <c r="F141" s="33"/>
      <c r="G141" s="1"/>
      <c r="H141" s="2"/>
      <c r="I141" s="2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4.25" customHeight="1">
      <c r="A142" s="33"/>
      <c r="B142" s="33"/>
      <c r="C142" s="33"/>
      <c r="D142" s="33"/>
      <c r="E142" s="33"/>
      <c r="F142" s="33"/>
      <c r="G142" s="1"/>
      <c r="H142" s="2"/>
      <c r="I142" s="2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4.25" customHeight="1">
      <c r="A143" s="33"/>
      <c r="B143" s="33"/>
      <c r="C143" s="33"/>
      <c r="D143" s="33"/>
      <c r="E143" s="33"/>
      <c r="F143" s="33"/>
      <c r="G143" s="1"/>
      <c r="H143" s="2"/>
      <c r="I143" s="2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4.25" customHeight="1">
      <c r="A144" s="33"/>
      <c r="B144" s="33"/>
      <c r="C144" s="33"/>
      <c r="D144" s="33"/>
      <c r="E144" s="33"/>
      <c r="F144" s="33"/>
      <c r="G144" s="1"/>
      <c r="H144" s="2"/>
      <c r="I144" s="2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4.25" customHeight="1">
      <c r="A145" s="33"/>
      <c r="B145" s="33"/>
      <c r="C145" s="33"/>
      <c r="D145" s="33"/>
      <c r="E145" s="33"/>
      <c r="F145" s="33"/>
      <c r="G145" s="1"/>
      <c r="H145" s="2"/>
      <c r="I145" s="2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4.25" customHeight="1">
      <c r="A146" s="33"/>
      <c r="B146" s="33"/>
      <c r="C146" s="33"/>
      <c r="D146" s="33"/>
      <c r="E146" s="33"/>
      <c r="F146" s="33"/>
      <c r="G146" s="1"/>
      <c r="H146" s="2"/>
      <c r="I146" s="2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4.25" customHeight="1">
      <c r="A147" s="33"/>
      <c r="B147" s="33"/>
      <c r="C147" s="33"/>
      <c r="D147" s="33"/>
      <c r="E147" s="33"/>
      <c r="F147" s="33"/>
      <c r="G147" s="1"/>
      <c r="H147" s="2"/>
      <c r="I147" s="2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4.25" customHeight="1">
      <c r="A148" s="33"/>
      <c r="B148" s="33"/>
      <c r="C148" s="33"/>
      <c r="D148" s="33"/>
      <c r="E148" s="33"/>
      <c r="F148" s="33"/>
      <c r="G148" s="1"/>
      <c r="H148" s="2"/>
      <c r="I148" s="2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4.25" customHeight="1">
      <c r="A149" s="33"/>
      <c r="B149" s="33"/>
      <c r="C149" s="33"/>
      <c r="D149" s="33"/>
      <c r="E149" s="33"/>
      <c r="F149" s="33"/>
      <c r="G149" s="1"/>
      <c r="H149" s="2"/>
      <c r="I149" s="2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4.25" customHeight="1">
      <c r="A150" s="33"/>
      <c r="B150" s="33"/>
      <c r="C150" s="33"/>
      <c r="D150" s="33"/>
      <c r="E150" s="33"/>
      <c r="F150" s="33"/>
      <c r="G150" s="1"/>
      <c r="H150" s="2"/>
      <c r="I150" s="2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4.25" customHeight="1">
      <c r="A151" s="33"/>
      <c r="B151" s="33"/>
      <c r="C151" s="33"/>
      <c r="D151" s="33"/>
      <c r="E151" s="33"/>
      <c r="F151" s="33"/>
      <c r="G151" s="1"/>
      <c r="H151" s="2"/>
      <c r="I151" s="2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4.25" customHeight="1">
      <c r="A152" s="33"/>
      <c r="B152" s="33"/>
      <c r="C152" s="33"/>
      <c r="D152" s="33"/>
      <c r="E152" s="33"/>
      <c r="F152" s="33"/>
      <c r="G152" s="1"/>
      <c r="H152" s="2"/>
      <c r="I152" s="2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4.25" customHeight="1">
      <c r="A153" s="33"/>
      <c r="B153" s="33"/>
      <c r="C153" s="33"/>
      <c r="D153" s="33"/>
      <c r="E153" s="33"/>
      <c r="F153" s="33"/>
      <c r="G153" s="1"/>
      <c r="H153" s="2"/>
      <c r="I153" s="2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4.25" customHeight="1">
      <c r="A154" s="33"/>
      <c r="B154" s="33"/>
      <c r="C154" s="33"/>
      <c r="D154" s="33"/>
      <c r="E154" s="33"/>
      <c r="F154" s="33"/>
      <c r="G154" s="1"/>
      <c r="H154" s="2"/>
      <c r="I154" s="2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ht="14.25" customHeight="1">
      <c r="A155" s="33"/>
      <c r="B155" s="33"/>
      <c r="C155" s="33"/>
      <c r="D155" s="33"/>
      <c r="E155" s="33"/>
      <c r="F155" s="33"/>
      <c r="G155" s="1"/>
      <c r="H155" s="2"/>
      <c r="I155" s="2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ht="14.25" customHeight="1">
      <c r="A156" s="33"/>
      <c r="B156" s="33"/>
      <c r="C156" s="33"/>
      <c r="D156" s="33"/>
      <c r="E156" s="33"/>
      <c r="F156" s="33"/>
      <c r="G156" s="1"/>
      <c r="H156" s="2"/>
      <c r="I156" s="2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ht="14.25" customHeight="1">
      <c r="A157" s="33"/>
      <c r="B157" s="33"/>
      <c r="C157" s="33"/>
      <c r="D157" s="33"/>
      <c r="E157" s="33"/>
      <c r="F157" s="33"/>
      <c r="G157" s="1"/>
      <c r="H157" s="2"/>
      <c r="I157" s="2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ht="14.25" customHeight="1">
      <c r="A158" s="33"/>
      <c r="B158" s="33"/>
      <c r="C158" s="33"/>
      <c r="D158" s="33"/>
      <c r="E158" s="33"/>
      <c r="F158" s="33"/>
      <c r="G158" s="1"/>
      <c r="H158" s="2"/>
      <c r="I158" s="2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ht="14.25" customHeight="1">
      <c r="A159" s="33"/>
      <c r="B159" s="33"/>
      <c r="C159" s="33"/>
      <c r="D159" s="33"/>
      <c r="E159" s="33"/>
      <c r="F159" s="33"/>
      <c r="G159" s="1"/>
      <c r="H159" s="2"/>
      <c r="I159" s="2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ht="14.25" customHeight="1">
      <c r="A160" s="33"/>
      <c r="B160" s="33"/>
      <c r="C160" s="33"/>
      <c r="D160" s="33"/>
      <c r="E160" s="33"/>
      <c r="F160" s="33"/>
      <c r="G160" s="1"/>
      <c r="H160" s="2"/>
      <c r="I160" s="2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ht="14.25" customHeight="1">
      <c r="A161" s="33"/>
      <c r="B161" s="33"/>
      <c r="C161" s="33"/>
      <c r="D161" s="33"/>
      <c r="E161" s="33"/>
      <c r="F161" s="33"/>
      <c r="G161" s="1"/>
      <c r="H161" s="2"/>
      <c r="I161" s="2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ht="14.25" customHeight="1">
      <c r="A162" s="33"/>
      <c r="B162" s="33"/>
      <c r="C162" s="33"/>
      <c r="D162" s="33"/>
      <c r="E162" s="33"/>
      <c r="F162" s="33"/>
      <c r="G162" s="1"/>
      <c r="H162" s="2"/>
      <c r="I162" s="2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ht="14.25" customHeight="1">
      <c r="A163" s="33"/>
      <c r="B163" s="33"/>
      <c r="C163" s="33"/>
      <c r="D163" s="33"/>
      <c r="E163" s="33"/>
      <c r="F163" s="33"/>
      <c r="G163" s="1"/>
      <c r="H163" s="2"/>
      <c r="I163" s="2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4.25" customHeight="1">
      <c r="A164" s="33"/>
      <c r="B164" s="33"/>
      <c r="C164" s="33"/>
      <c r="D164" s="33"/>
      <c r="E164" s="33"/>
      <c r="F164" s="33"/>
      <c r="G164" s="1"/>
      <c r="H164" s="2"/>
      <c r="I164" s="2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ht="14.25" customHeight="1">
      <c r="A165" s="33"/>
      <c r="B165" s="33"/>
      <c r="C165" s="33"/>
      <c r="D165" s="33"/>
      <c r="E165" s="33"/>
      <c r="F165" s="33"/>
      <c r="G165" s="1"/>
      <c r="H165" s="2"/>
      <c r="I165" s="2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ht="14.25" customHeight="1">
      <c r="A166" s="33"/>
      <c r="B166" s="33"/>
      <c r="C166" s="33"/>
      <c r="D166" s="33"/>
      <c r="E166" s="33"/>
      <c r="F166" s="33"/>
      <c r="G166" s="1"/>
      <c r="H166" s="2"/>
      <c r="I166" s="2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4.25" customHeight="1">
      <c r="A167" s="33"/>
      <c r="B167" s="33"/>
      <c r="C167" s="33"/>
      <c r="D167" s="33"/>
      <c r="E167" s="33"/>
      <c r="F167" s="33"/>
      <c r="G167" s="1"/>
      <c r="H167" s="2"/>
      <c r="I167" s="2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pans="1:67" ht="14.25" customHeight="1">
      <c r="A168" s="33"/>
      <c r="B168" s="33"/>
      <c r="C168" s="33"/>
      <c r="D168" s="33"/>
      <c r="E168" s="33"/>
      <c r="F168" s="33"/>
      <c r="G168" s="1"/>
      <c r="H168" s="2"/>
      <c r="I168" s="2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1:67" ht="14.25" customHeight="1">
      <c r="A169" s="33"/>
      <c r="B169" s="33"/>
      <c r="C169" s="33"/>
      <c r="D169" s="33"/>
      <c r="E169" s="33"/>
      <c r="F169" s="33"/>
      <c r="G169" s="1"/>
      <c r="H169" s="2"/>
      <c r="I169" s="2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pans="1:67" ht="14.25" customHeight="1">
      <c r="A170" s="33"/>
      <c r="B170" s="33"/>
      <c r="C170" s="33"/>
      <c r="D170" s="33"/>
      <c r="E170" s="33"/>
      <c r="F170" s="33"/>
      <c r="G170" s="1"/>
      <c r="H170" s="2"/>
      <c r="I170" s="2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ht="14.25" customHeight="1">
      <c r="A171" s="33"/>
      <c r="B171" s="33"/>
      <c r="C171" s="33"/>
      <c r="D171" s="33"/>
      <c r="E171" s="33"/>
      <c r="F171" s="33"/>
      <c r="G171" s="1"/>
      <c r="H171" s="2"/>
      <c r="I171" s="2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ht="14.25" customHeight="1">
      <c r="A172" s="33"/>
      <c r="B172" s="33"/>
      <c r="C172" s="33"/>
      <c r="D172" s="33"/>
      <c r="E172" s="33"/>
      <c r="F172" s="33"/>
      <c r="G172" s="1"/>
      <c r="H172" s="2"/>
      <c r="I172" s="2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ht="14.25" customHeight="1">
      <c r="A173" s="33"/>
      <c r="B173" s="33"/>
      <c r="C173" s="33"/>
      <c r="D173" s="33"/>
      <c r="E173" s="33"/>
      <c r="F173" s="33"/>
      <c r="G173" s="1"/>
      <c r="H173" s="2"/>
      <c r="I173" s="2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ht="14.25" customHeight="1">
      <c r="A174" s="33"/>
      <c r="B174" s="33"/>
      <c r="C174" s="33"/>
      <c r="D174" s="33"/>
      <c r="E174" s="33"/>
      <c r="F174" s="33"/>
      <c r="G174" s="1"/>
      <c r="H174" s="2"/>
      <c r="I174" s="2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ht="14.25" customHeight="1">
      <c r="A175" s="33"/>
      <c r="B175" s="33"/>
      <c r="C175" s="33"/>
      <c r="D175" s="33"/>
      <c r="E175" s="33"/>
      <c r="F175" s="33"/>
      <c r="G175" s="1"/>
      <c r="H175" s="2"/>
      <c r="I175" s="2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4.25" customHeight="1">
      <c r="A176" s="33"/>
      <c r="B176" s="33"/>
      <c r="C176" s="33"/>
      <c r="D176" s="33"/>
      <c r="E176" s="33"/>
      <c r="F176" s="33"/>
      <c r="G176" s="1"/>
      <c r="H176" s="2"/>
      <c r="I176" s="2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1:67" ht="14.25" customHeight="1">
      <c r="A177" s="33"/>
      <c r="B177" s="33"/>
      <c r="C177" s="33"/>
      <c r="D177" s="33"/>
      <c r="E177" s="33"/>
      <c r="F177" s="33"/>
      <c r="G177" s="1"/>
      <c r="H177" s="2"/>
      <c r="I177" s="2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ht="14.25" customHeight="1">
      <c r="A178" s="33"/>
      <c r="B178" s="33"/>
      <c r="C178" s="33"/>
      <c r="D178" s="33"/>
      <c r="E178" s="33"/>
      <c r="F178" s="33"/>
      <c r="G178" s="1"/>
      <c r="H178" s="2"/>
      <c r="I178" s="2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ht="14.25" customHeight="1">
      <c r="A179" s="33"/>
      <c r="B179" s="33"/>
      <c r="C179" s="33"/>
      <c r="D179" s="33"/>
      <c r="E179" s="33"/>
      <c r="F179" s="33"/>
      <c r="G179" s="1"/>
      <c r="H179" s="2"/>
      <c r="I179" s="2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spans="1:67" ht="14.25" customHeight="1">
      <c r="A180" s="33"/>
      <c r="B180" s="33"/>
      <c r="C180" s="33"/>
      <c r="D180" s="33"/>
      <c r="E180" s="33"/>
      <c r="F180" s="33"/>
      <c r="G180" s="1"/>
      <c r="H180" s="2"/>
      <c r="I180" s="2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ht="14.25" customHeight="1">
      <c r="A181" s="33"/>
      <c r="B181" s="33"/>
      <c r="C181" s="33"/>
      <c r="D181" s="33"/>
      <c r="E181" s="33"/>
      <c r="F181" s="33"/>
      <c r="G181" s="1"/>
      <c r="H181" s="2"/>
      <c r="I181" s="2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1:67" ht="14.25" customHeight="1">
      <c r="A182" s="33"/>
      <c r="B182" s="33"/>
      <c r="C182" s="33"/>
      <c r="D182" s="33"/>
      <c r="E182" s="33"/>
      <c r="F182" s="33"/>
      <c r="G182" s="1"/>
      <c r="H182" s="2"/>
      <c r="I182" s="2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ht="14.25" customHeight="1">
      <c r="A183" s="33"/>
      <c r="B183" s="33"/>
      <c r="C183" s="33"/>
      <c r="D183" s="33"/>
      <c r="E183" s="33"/>
      <c r="F183" s="33"/>
      <c r="G183" s="1"/>
      <c r="H183" s="2"/>
      <c r="I183" s="2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4.25" customHeight="1">
      <c r="A184" s="33"/>
      <c r="B184" s="33"/>
      <c r="C184" s="33"/>
      <c r="D184" s="33"/>
      <c r="E184" s="33"/>
      <c r="F184" s="33"/>
      <c r="G184" s="1"/>
      <c r="H184" s="2"/>
      <c r="I184" s="2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ht="14.25" customHeight="1">
      <c r="A185" s="33"/>
      <c r="B185" s="33"/>
      <c r="C185" s="33"/>
      <c r="D185" s="33"/>
      <c r="E185" s="33"/>
      <c r="F185" s="33"/>
      <c r="G185" s="1"/>
      <c r="H185" s="2"/>
      <c r="I185" s="2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ht="14.25" customHeight="1">
      <c r="A186" s="33"/>
      <c r="B186" s="33"/>
      <c r="C186" s="33"/>
      <c r="D186" s="33"/>
      <c r="E186" s="33"/>
      <c r="F186" s="33"/>
      <c r="G186" s="1"/>
      <c r="H186" s="2"/>
      <c r="I186" s="2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ht="14.25" customHeight="1">
      <c r="A187" s="33"/>
      <c r="B187" s="33"/>
      <c r="C187" s="33"/>
      <c r="D187" s="33"/>
      <c r="E187" s="33"/>
      <c r="F187" s="33"/>
      <c r="G187" s="1"/>
      <c r="H187" s="2"/>
      <c r="I187" s="2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ht="14.25" customHeight="1">
      <c r="A188" s="33"/>
      <c r="B188" s="33"/>
      <c r="C188" s="33"/>
      <c r="D188" s="33"/>
      <c r="E188" s="33"/>
      <c r="F188" s="33"/>
      <c r="G188" s="1"/>
      <c r="H188" s="2"/>
      <c r="I188" s="2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4.25" customHeight="1">
      <c r="A189" s="33"/>
      <c r="B189" s="33"/>
      <c r="C189" s="33"/>
      <c r="D189" s="33"/>
      <c r="E189" s="33"/>
      <c r="F189" s="33"/>
      <c r="G189" s="1"/>
      <c r="H189" s="2"/>
      <c r="I189" s="2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ht="14.25" customHeight="1">
      <c r="A190" s="33"/>
      <c r="B190" s="33"/>
      <c r="C190" s="33"/>
      <c r="D190" s="33"/>
      <c r="E190" s="33"/>
      <c r="F190" s="33"/>
      <c r="G190" s="1"/>
      <c r="H190" s="2"/>
      <c r="I190" s="2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</row>
    <row r="212" spans="1:67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</row>
    <row r="213" spans="1:67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</row>
    <row r="214" spans="1:67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</row>
    <row r="215" spans="1:67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</row>
    <row r="216" spans="1:67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</row>
    <row r="217" spans="1:6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</row>
    <row r="218" spans="1:67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</row>
    <row r="219" spans="1:67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</row>
    <row r="220" spans="1:67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</row>
    <row r="221" spans="1:67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</row>
    <row r="222" spans="1:67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</row>
    <row r="223" spans="1:67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</row>
    <row r="224" spans="1:67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</row>
    <row r="225" spans="1:67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</row>
    <row r="226" spans="1:67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</row>
    <row r="227" spans="1:6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</row>
    <row r="228" spans="1:67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</row>
    <row r="229" spans="1:67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</row>
    <row r="230" spans="1:67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</row>
    <row r="231" spans="1:67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</row>
    <row r="232" spans="1:67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</row>
    <row r="233" spans="1:67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</row>
    <row r="234" spans="1:67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</row>
    <row r="235" spans="1:67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</row>
    <row r="236" spans="1:67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</row>
    <row r="237" spans="1:6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</row>
    <row r="238" spans="1:67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</row>
    <row r="239" spans="1:67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</row>
    <row r="240" spans="1:67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</row>
    <row r="241" spans="1:67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</row>
    <row r="242" spans="1:67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</row>
    <row r="243" spans="1:67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</row>
    <row r="244" spans="1:67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</row>
    <row r="245" spans="1:67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</row>
    <row r="246" spans="1:67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</row>
    <row r="247" spans="1:6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</row>
    <row r="248" spans="1:67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</row>
    <row r="249" spans="1:67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</row>
    <row r="250" spans="1:67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</row>
    <row r="251" spans="1:67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</row>
    <row r="252" spans="1:67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</row>
    <row r="253" spans="1:67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</row>
    <row r="254" spans="1:67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</row>
    <row r="255" spans="1:67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</row>
    <row r="256" spans="1:67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</row>
    <row r="257" spans="1:6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</row>
    <row r="258" spans="1:67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</row>
    <row r="259" spans="1:67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</row>
    <row r="260" spans="1:67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</row>
    <row r="261" spans="1:67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</row>
    <row r="262" spans="1:67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</row>
    <row r="263" spans="1:67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</row>
    <row r="264" spans="1:67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</row>
    <row r="265" spans="1:67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</row>
    <row r="266" spans="1:67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</row>
    <row r="267" spans="1: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</row>
    <row r="268" spans="1:67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</row>
    <row r="269" spans="1:67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</row>
    <row r="270" spans="1:67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</row>
    <row r="271" spans="1:67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</row>
    <row r="272" spans="1:67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</row>
    <row r="273" spans="1:67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</row>
    <row r="274" spans="1:67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</row>
    <row r="275" spans="1:67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</row>
    <row r="276" spans="1:67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</row>
    <row r="277" spans="1:6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</row>
    <row r="278" spans="1:67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</row>
    <row r="279" spans="1:67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</row>
    <row r="280" spans="1:67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</row>
    <row r="281" spans="1:67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</row>
    <row r="282" spans="1:67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</row>
    <row r="283" spans="1:67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</row>
    <row r="284" spans="1:67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</row>
    <row r="285" spans="1:67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</row>
    <row r="286" spans="1:67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</row>
    <row r="287" spans="1:6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</row>
    <row r="288" spans="1:67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</row>
    <row r="289" spans="1:67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</row>
    <row r="290" spans="1:67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</row>
    <row r="291" spans="1:67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</row>
    <row r="292" spans="1:67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</row>
    <row r="293" spans="1:67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</row>
    <row r="294" spans="1:67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</row>
    <row r="295" spans="1:67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</row>
    <row r="296" spans="1:67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</row>
    <row r="297" spans="1:6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</row>
    <row r="298" spans="1:67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</row>
    <row r="299" spans="1:67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</row>
    <row r="300" spans="1:67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</row>
    <row r="301" spans="1:67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</row>
    <row r="302" spans="1:67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</row>
    <row r="303" spans="1:67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</row>
    <row r="304" spans="1:67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</row>
    <row r="305" spans="1:67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</row>
    <row r="306" spans="1:67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</row>
    <row r="307" spans="1:6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</row>
    <row r="308" spans="1:67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</row>
    <row r="309" spans="1:67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</row>
    <row r="310" spans="1:67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</row>
    <row r="311" spans="1:67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</row>
    <row r="312" spans="1:67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</row>
    <row r="313" spans="1:67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</row>
    <row r="314" spans="1:67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</row>
    <row r="315" spans="1:67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</row>
    <row r="316" spans="1:67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</row>
    <row r="317" spans="1:6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</row>
    <row r="318" spans="1:67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</row>
    <row r="319" spans="1:67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</row>
    <row r="320" spans="1:67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</row>
    <row r="321" spans="1:67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</row>
    <row r="322" spans="1:67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</row>
    <row r="323" spans="1:67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</row>
    <row r="324" spans="1:67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</row>
    <row r="325" spans="1:67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</row>
    <row r="326" spans="1:67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</row>
    <row r="327" spans="1:6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</row>
    <row r="328" spans="1:67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</row>
    <row r="329" spans="1:67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</row>
    <row r="330" spans="1:67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</row>
    <row r="331" spans="1:67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</row>
    <row r="332" spans="1:67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</row>
    <row r="333" spans="1:67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</row>
    <row r="334" spans="1:67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</row>
    <row r="335" spans="1:67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</row>
    <row r="336" spans="1:67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</row>
    <row r="337" spans="1:6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</row>
    <row r="338" spans="1:67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</row>
    <row r="339" spans="1:67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</row>
    <row r="340" spans="1:67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</row>
    <row r="341" spans="1:67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</row>
    <row r="342" spans="1:67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</row>
    <row r="343" spans="1:67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</row>
    <row r="344" spans="1:67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</row>
    <row r="345" spans="1:67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</row>
    <row r="346" spans="1:67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</row>
    <row r="347" spans="1:6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</row>
    <row r="348" spans="1:67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</row>
    <row r="349" spans="1:67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</row>
    <row r="350" spans="1:67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</row>
    <row r="351" spans="1:67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</row>
    <row r="352" spans="1:67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</row>
    <row r="353" spans="1:67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</row>
    <row r="354" spans="1:67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</row>
    <row r="355" spans="1:67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</row>
    <row r="356" spans="1:67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</row>
    <row r="357" spans="1:6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</row>
    <row r="358" spans="1:67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</row>
    <row r="359" spans="1:67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</row>
    <row r="360" spans="1:67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</row>
    <row r="361" spans="1:67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</row>
    <row r="362" spans="1:67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</row>
    <row r="363" spans="1:67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</row>
    <row r="364" spans="1:67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</row>
    <row r="365" spans="1:67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</row>
    <row r="366" spans="1:67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</row>
    <row r="367" spans="1: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</row>
    <row r="368" spans="1:67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</row>
    <row r="369" spans="1:67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</row>
    <row r="370" spans="1:67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</row>
    <row r="371" spans="1:67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</row>
    <row r="372" spans="1:67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</row>
    <row r="373" spans="1:67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</row>
    <row r="374" spans="1:67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</row>
    <row r="375" spans="1:67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</row>
    <row r="376" spans="1:67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</row>
    <row r="377" spans="1:6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</row>
    <row r="378" spans="1:67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</row>
    <row r="379" spans="1:67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</row>
    <row r="380" spans="1:67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</row>
    <row r="381" spans="1:67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</row>
    <row r="382" spans="1:67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</row>
    <row r="383" spans="1:67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</row>
    <row r="384" spans="1:67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</row>
    <row r="385" spans="1:67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</row>
    <row r="386" spans="1:67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</row>
    <row r="387" spans="1:6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</row>
    <row r="388" spans="1:67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</row>
    <row r="389" spans="1:67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</row>
    <row r="390" spans="1:67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</row>
    <row r="391" spans="1:67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</row>
    <row r="392" spans="1:67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</row>
    <row r="393" spans="1:67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</row>
    <row r="394" spans="1:67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</row>
    <row r="395" spans="1:67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</row>
    <row r="396" spans="1:67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</row>
    <row r="397" spans="1:6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</row>
    <row r="398" spans="1:67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</row>
    <row r="399" spans="1:67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</row>
    <row r="400" spans="1:67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</row>
    <row r="401" spans="1:67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</row>
    <row r="402" spans="1:67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</row>
    <row r="403" spans="1:67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</row>
    <row r="404" spans="1:67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</row>
    <row r="405" spans="1:67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</row>
    <row r="406" spans="1:67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</row>
    <row r="407" spans="1:6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</row>
    <row r="408" spans="1:67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</row>
    <row r="409" spans="1:67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</row>
    <row r="410" spans="1:67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</row>
    <row r="411" spans="1:67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</row>
    <row r="412" spans="1:67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</row>
    <row r="413" spans="1:67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</row>
    <row r="414" spans="1:67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</row>
    <row r="415" spans="1:67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</row>
    <row r="416" spans="1:67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</row>
    <row r="417" spans="1:6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</row>
    <row r="418" spans="1:67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</row>
    <row r="419" spans="1:67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</row>
    <row r="420" spans="1:67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</row>
    <row r="421" spans="1:67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</row>
    <row r="422" spans="1:67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</row>
    <row r="423" spans="1:67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</row>
    <row r="424" spans="1:67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</row>
    <row r="425" spans="1:67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</row>
    <row r="426" spans="1:67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</row>
    <row r="427" spans="1:6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</row>
    <row r="428" spans="1:67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</row>
    <row r="429" spans="1:67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</row>
    <row r="430" spans="1:67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</row>
    <row r="431" spans="1:67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</row>
    <row r="432" spans="1:67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</row>
    <row r="433" spans="1:67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</row>
    <row r="434" spans="1:67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</row>
    <row r="435" spans="1:67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</row>
    <row r="436" spans="1:67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</row>
    <row r="437" spans="1:6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</row>
    <row r="438" spans="1:67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</row>
    <row r="439" spans="1:67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</row>
    <row r="440" spans="1:67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</row>
    <row r="441" spans="1:67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</row>
    <row r="442" spans="1:67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</row>
    <row r="443" spans="1:67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</row>
    <row r="444" spans="1:67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</row>
    <row r="445" spans="1:67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</row>
    <row r="446" spans="1:67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</row>
    <row r="447" spans="1:6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</row>
    <row r="448" spans="1:67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</row>
    <row r="449" spans="1:67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</row>
    <row r="450" spans="1:67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</row>
    <row r="451" spans="1:67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</row>
    <row r="452" spans="1:67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</row>
    <row r="453" spans="1:67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</row>
    <row r="454" spans="1:67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</row>
    <row r="455" spans="1:67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</row>
    <row r="456" spans="1:67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</row>
    <row r="457" spans="1:6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</row>
    <row r="458" spans="1:67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</row>
    <row r="459" spans="1:67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</row>
    <row r="460" spans="1:67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</row>
    <row r="461" spans="1:67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</row>
    <row r="462" spans="1:67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</row>
    <row r="463" spans="1:67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</row>
    <row r="464" spans="1:67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</row>
    <row r="465" spans="1:67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</row>
    <row r="466" spans="1:67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</row>
    <row r="467" spans="1: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</row>
    <row r="468" spans="1:67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</row>
    <row r="469" spans="1:67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</row>
    <row r="470" spans="1:67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</row>
    <row r="471" spans="1:67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</row>
    <row r="472" spans="1:67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</row>
    <row r="473" spans="1:67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</row>
    <row r="474" spans="1:67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</row>
    <row r="475" spans="1:67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</row>
    <row r="476" spans="1:67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</row>
    <row r="477" spans="1:6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</row>
    <row r="478" spans="1:67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</row>
    <row r="479" spans="1:67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</row>
    <row r="480" spans="1:67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</row>
    <row r="481" spans="1:67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</row>
    <row r="482" spans="1:67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</row>
    <row r="483" spans="1:67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</row>
    <row r="484" spans="1:67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</row>
    <row r="485" spans="1:67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</row>
    <row r="486" spans="1:67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</row>
    <row r="487" spans="1:6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</row>
    <row r="488" spans="1:67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</row>
    <row r="489" spans="1:67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</row>
    <row r="490" spans="1:67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</row>
    <row r="491" spans="1:67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</row>
    <row r="492" spans="1:67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</row>
    <row r="493" spans="1:67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</row>
    <row r="494" spans="1:67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</row>
    <row r="495" spans="1:67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</row>
    <row r="496" spans="1:67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</row>
    <row r="497" spans="1:6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</row>
    <row r="498" spans="1:67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</row>
    <row r="499" spans="1:67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</row>
    <row r="500" spans="1:67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</row>
    <row r="501" spans="1:67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</row>
    <row r="502" spans="1:67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</row>
    <row r="503" spans="1:67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</row>
    <row r="504" spans="1:67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</row>
    <row r="505" spans="1:67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</row>
    <row r="506" spans="1:67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</row>
    <row r="507" spans="1:6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</row>
    <row r="508" spans="1:67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</row>
    <row r="509" spans="1:67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</row>
    <row r="510" spans="1:67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</row>
    <row r="511" spans="1:67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</row>
    <row r="512" spans="1:67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</row>
    <row r="513" spans="1:67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</row>
    <row r="514" spans="1:67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</row>
    <row r="515" spans="1:67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</row>
    <row r="516" spans="1:67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</row>
    <row r="517" spans="1:6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</row>
    <row r="518" spans="1:67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</row>
    <row r="519" spans="1:67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</row>
    <row r="520" spans="1:67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</row>
    <row r="521" spans="1:67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</row>
    <row r="522" spans="1:67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</row>
    <row r="523" spans="1:67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</row>
    <row r="524" spans="1:67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</row>
    <row r="525" spans="1:67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</row>
    <row r="526" spans="1:67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</row>
    <row r="527" spans="1:6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</row>
    <row r="528" spans="1:67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</row>
    <row r="529" spans="1:67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</row>
    <row r="530" spans="1:67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</row>
    <row r="531" spans="1:67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</row>
    <row r="532" spans="1:67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</row>
    <row r="533" spans="1:67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</row>
    <row r="534" spans="1:67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</row>
    <row r="535" spans="1:67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</row>
    <row r="536" spans="1:67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</row>
    <row r="537" spans="1:6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</row>
    <row r="538" spans="1:67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</row>
    <row r="539" spans="1:67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</row>
    <row r="540" spans="1:67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</row>
    <row r="541" spans="1:67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</row>
    <row r="542" spans="1:67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</row>
    <row r="543" spans="1:67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</row>
    <row r="544" spans="1:67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</row>
    <row r="545" spans="1:67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</row>
    <row r="546" spans="1:67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</row>
    <row r="547" spans="1:6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</row>
    <row r="548" spans="1:67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</row>
    <row r="549" spans="1:67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</row>
    <row r="550" spans="1:67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</row>
    <row r="551" spans="1:67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</row>
    <row r="552" spans="1:67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</row>
    <row r="553" spans="1:67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</row>
    <row r="554" spans="1:67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</row>
    <row r="555" spans="1:67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</row>
    <row r="556" spans="1:67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</row>
    <row r="557" spans="1:6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</row>
    <row r="558" spans="1:67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</row>
    <row r="559" spans="1:67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</row>
    <row r="560" spans="1:67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</row>
    <row r="561" spans="1:67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</row>
    <row r="562" spans="1:67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</row>
    <row r="563" spans="1:67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</row>
    <row r="564" spans="1:67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</row>
    <row r="565" spans="1:67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</row>
    <row r="566" spans="1:67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</row>
    <row r="567" spans="1: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</row>
    <row r="568" spans="1:67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</row>
    <row r="569" spans="1:67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</row>
    <row r="570" spans="1:67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</row>
    <row r="571" spans="1:67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</row>
    <row r="572" spans="1:67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</row>
    <row r="573" spans="1:67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</row>
    <row r="574" spans="1:67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</row>
    <row r="575" spans="1:67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</row>
    <row r="576" spans="1:67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</row>
    <row r="577" spans="1:6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</row>
    <row r="578" spans="1:67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</row>
    <row r="579" spans="1:67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</row>
    <row r="580" spans="1:67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</row>
    <row r="581" spans="1:67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</row>
    <row r="582" spans="1:67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</row>
    <row r="583" spans="1:67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</row>
    <row r="584" spans="1:67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</row>
    <row r="585" spans="1:67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</row>
    <row r="586" spans="1:67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</row>
    <row r="587" spans="1:6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</row>
    <row r="588" spans="1:67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</row>
    <row r="589" spans="1:67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</row>
    <row r="590" spans="1:67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</row>
    <row r="591" spans="1:67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</row>
    <row r="592" spans="1:67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</row>
    <row r="593" spans="1:67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</row>
    <row r="594" spans="1:67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</row>
    <row r="595" spans="1:67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</row>
    <row r="596" spans="1:67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</row>
    <row r="597" spans="1:6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</row>
    <row r="598" spans="1:67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</row>
    <row r="599" spans="1:67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</row>
    <row r="600" spans="1:67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</row>
    <row r="601" spans="1:67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</row>
    <row r="602" spans="1:67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</row>
    <row r="603" spans="1:67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</row>
    <row r="604" spans="1:67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</row>
    <row r="605" spans="1:67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</row>
    <row r="606" spans="1:67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</row>
    <row r="607" spans="1:6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</row>
    <row r="608" spans="1:67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</row>
    <row r="609" spans="1:67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</row>
    <row r="610" spans="1:67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</row>
    <row r="611" spans="1:67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</row>
    <row r="612" spans="1:67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</row>
    <row r="613" spans="1:67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</row>
    <row r="614" spans="1:67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</row>
    <row r="615" spans="1:67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</row>
    <row r="616" spans="1:67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</row>
    <row r="617" spans="1:6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</row>
    <row r="618" spans="1:67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</row>
    <row r="619" spans="1:67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</row>
    <row r="620" spans="1:67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</row>
    <row r="621" spans="1:67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</row>
    <row r="622" spans="1:67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</row>
    <row r="623" spans="1:67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</row>
    <row r="624" spans="1:67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</row>
    <row r="625" spans="1:67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</row>
    <row r="626" spans="1:67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</row>
    <row r="627" spans="1:6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</row>
    <row r="628" spans="1:67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</row>
    <row r="629" spans="1:67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</row>
    <row r="630" spans="1:67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</row>
    <row r="631" spans="1:67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</row>
    <row r="632" spans="1:67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</row>
    <row r="633" spans="1:67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</row>
    <row r="634" spans="1:67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</row>
    <row r="635" spans="1:67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</row>
    <row r="636" spans="1:67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</row>
    <row r="637" spans="1:6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</row>
    <row r="638" spans="1:67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</row>
    <row r="639" spans="1:67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</row>
    <row r="640" spans="1:67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</row>
    <row r="641" spans="1:67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</row>
    <row r="642" spans="1:67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</row>
    <row r="643" spans="1:67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</row>
    <row r="644" spans="1:67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</row>
    <row r="645" spans="1:67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</row>
    <row r="646" spans="1:67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</row>
    <row r="647" spans="1:6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</row>
    <row r="648" spans="1:67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</row>
    <row r="649" spans="1:67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</row>
    <row r="650" spans="1:67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</row>
    <row r="651" spans="1:67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</row>
    <row r="652" spans="1:67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</row>
    <row r="653" spans="1:67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</row>
    <row r="654" spans="1:67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</row>
    <row r="655" spans="1:67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</row>
    <row r="656" spans="1:67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</row>
    <row r="657" spans="1:6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</row>
    <row r="658" spans="1:67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</row>
    <row r="659" spans="1:67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</row>
    <row r="660" spans="1:67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</row>
    <row r="661" spans="1:67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</row>
    <row r="662" spans="1:67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</row>
    <row r="663" spans="1:67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</row>
    <row r="664" spans="1:67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</row>
    <row r="665" spans="1:67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</row>
    <row r="666" spans="1:67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</row>
    <row r="667" spans="1: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</row>
    <row r="668" spans="1:67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</row>
    <row r="669" spans="1:67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</row>
    <row r="670" spans="1:67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</row>
    <row r="671" spans="1:67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</row>
    <row r="672" spans="1:67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</row>
    <row r="673" spans="1:67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</row>
    <row r="674" spans="1:67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</row>
    <row r="675" spans="1:67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</row>
    <row r="676" spans="1:67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</row>
    <row r="677" spans="1:6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</row>
    <row r="678" spans="1:67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</row>
    <row r="679" spans="1:67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</row>
    <row r="680" spans="1:67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</row>
    <row r="681" spans="1:67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</row>
    <row r="682" spans="1:67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</row>
    <row r="683" spans="1:67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</row>
    <row r="684" spans="1:67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</row>
    <row r="685" spans="1:67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</row>
    <row r="686" spans="1:67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</row>
    <row r="687" spans="1:6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</row>
    <row r="688" spans="1:67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</row>
    <row r="689" spans="1:67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</row>
    <row r="690" spans="1:67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</row>
    <row r="691" spans="1:67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</row>
    <row r="692" spans="1:67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</row>
    <row r="693" spans="1:67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</row>
    <row r="694" spans="1:67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</row>
    <row r="695" spans="1:67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</row>
    <row r="696" spans="1:67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</row>
    <row r="697" spans="1:6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</row>
    <row r="698" spans="1:67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</row>
    <row r="699" spans="1:67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</row>
    <row r="700" spans="1:67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</row>
    <row r="701" spans="1:67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</row>
    <row r="702" spans="1:67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</row>
    <row r="703" spans="1:67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</row>
    <row r="704" spans="1:67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</row>
    <row r="705" spans="1:67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</row>
    <row r="706" spans="1:67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</row>
    <row r="707" spans="1:6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</row>
    <row r="708" spans="1:67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</row>
    <row r="709" spans="1:67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</row>
    <row r="710" spans="1:67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</row>
    <row r="711" spans="1:67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</row>
    <row r="712" spans="1:67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</row>
    <row r="713" spans="1:67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</row>
    <row r="714" spans="1:67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</row>
    <row r="715" spans="1:67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</row>
    <row r="716" spans="1:67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</row>
    <row r="717" spans="1:6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</row>
    <row r="718" spans="1:67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</row>
    <row r="719" spans="1:67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</row>
    <row r="720" spans="1:67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</row>
    <row r="721" spans="1:67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</row>
    <row r="722" spans="1:67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</row>
    <row r="723" spans="1:67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</row>
    <row r="724" spans="1:67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</row>
    <row r="725" spans="1:67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</row>
    <row r="726" spans="1:67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</row>
    <row r="727" spans="1:6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</row>
    <row r="728" spans="1:67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</row>
    <row r="729" spans="1:67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</row>
    <row r="730" spans="1:67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</row>
    <row r="731" spans="1:67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</row>
    <row r="732" spans="1:67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</row>
    <row r="733" spans="1:67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</row>
    <row r="734" spans="1:67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</row>
    <row r="735" spans="1:67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</row>
    <row r="736" spans="1:67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</row>
    <row r="737" spans="1:6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</row>
    <row r="738" spans="1:67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</row>
    <row r="739" spans="1:67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</row>
    <row r="740" spans="1:67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</row>
    <row r="741" spans="1:67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</row>
    <row r="742" spans="1:67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</row>
    <row r="743" spans="1:67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</row>
    <row r="744" spans="1:67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</row>
    <row r="745" spans="1:67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</row>
    <row r="746" spans="1:67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</row>
    <row r="747" spans="1:6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</row>
    <row r="748" spans="1:67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</row>
    <row r="749" spans="1:67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</row>
    <row r="750" spans="1:67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</row>
    <row r="751" spans="1:67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</row>
    <row r="752" spans="1:67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</row>
    <row r="753" spans="1:67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</row>
    <row r="754" spans="1:67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</row>
    <row r="755" spans="1:67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</row>
    <row r="756" spans="1:67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</row>
    <row r="757" spans="1:6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</row>
    <row r="758" spans="1:67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</row>
    <row r="759" spans="1:67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</row>
    <row r="760" spans="1:67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</row>
    <row r="761" spans="1:67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</row>
    <row r="762" spans="1:67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</row>
    <row r="763" spans="1:67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</row>
    <row r="764" spans="1:67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</row>
    <row r="765" spans="1:67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</row>
    <row r="766" spans="1:67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</row>
    <row r="767" spans="1: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</row>
    <row r="768" spans="1:67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</row>
    <row r="769" spans="1:67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</row>
    <row r="770" spans="1:67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</row>
    <row r="771" spans="1:67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</row>
    <row r="772" spans="1:67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</row>
    <row r="773" spans="1:67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</row>
    <row r="774" spans="1:67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</row>
    <row r="775" spans="1:67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</row>
    <row r="776" spans="1:67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</row>
    <row r="777" spans="1:6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</row>
    <row r="778" spans="1:67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</row>
    <row r="779" spans="1:67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</row>
    <row r="780" spans="1:67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</row>
    <row r="781" spans="1:67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</row>
    <row r="782" spans="1:67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</row>
    <row r="783" spans="1:67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</row>
    <row r="784" spans="1:67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</row>
    <row r="785" spans="1:67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</row>
    <row r="786" spans="1:67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</row>
    <row r="787" spans="1:6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</row>
    <row r="788" spans="1:67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</row>
    <row r="789" spans="1:67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</row>
    <row r="790" spans="1:67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</row>
    <row r="791" spans="1:67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</row>
    <row r="792" spans="1:67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</row>
    <row r="793" spans="1:67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</row>
    <row r="794" spans="1:67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</row>
    <row r="795" spans="1:67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</row>
    <row r="796" spans="1:67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</row>
    <row r="797" spans="1:6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</row>
    <row r="798" spans="1:67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</row>
    <row r="799" spans="1:67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</row>
    <row r="800" spans="1:67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</row>
    <row r="801" spans="1:67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</row>
    <row r="802" spans="1:67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</row>
    <row r="803" spans="1:67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</row>
    <row r="804" spans="1:67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</row>
    <row r="805" spans="1:67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</row>
    <row r="806" spans="1:67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</row>
    <row r="807" spans="1:6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</row>
    <row r="808" spans="1:67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</row>
    <row r="809" spans="1:67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</row>
    <row r="810" spans="1:67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</row>
    <row r="811" spans="1:67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</row>
    <row r="812" spans="1:67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</row>
    <row r="813" spans="1:67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</row>
    <row r="814" spans="1:67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</row>
    <row r="815" spans="1:67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</row>
    <row r="816" spans="1:67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</row>
    <row r="817" spans="1:6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</row>
    <row r="818" spans="1:67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</row>
    <row r="819" spans="1:67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</row>
    <row r="820" spans="1:67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</row>
    <row r="821" spans="1:67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</row>
    <row r="822" spans="1:67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</row>
    <row r="823" spans="1:67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</row>
    <row r="824" spans="1:67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</row>
    <row r="825" spans="1:67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</row>
    <row r="826" spans="1:67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</row>
    <row r="827" spans="1:6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</row>
    <row r="828" spans="1:67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</row>
    <row r="829" spans="1:67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</row>
    <row r="830" spans="1:67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</row>
    <row r="831" spans="1:67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</row>
    <row r="832" spans="1:67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</row>
    <row r="833" spans="1:67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</row>
    <row r="834" spans="1:67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</row>
    <row r="835" spans="1:67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</row>
    <row r="836" spans="1:67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</row>
    <row r="837" spans="1:6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</row>
    <row r="838" spans="1:67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</row>
    <row r="839" spans="1:67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</row>
    <row r="840" spans="1:67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</row>
    <row r="841" spans="1:67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</row>
    <row r="842" spans="1:67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</row>
    <row r="843" spans="1:67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</row>
    <row r="844" spans="1:67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</row>
    <row r="845" spans="1:67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</row>
    <row r="846" spans="1:67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</row>
    <row r="847" spans="1:6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</row>
    <row r="848" spans="1:67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</row>
    <row r="849" spans="1:67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</row>
    <row r="850" spans="1:67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</row>
    <row r="851" spans="1:67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</row>
    <row r="852" spans="1:67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</row>
    <row r="853" spans="1:67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</row>
    <row r="854" spans="1:67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</row>
    <row r="855" spans="1:67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</row>
    <row r="856" spans="1:67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</row>
    <row r="857" spans="1:6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</row>
    <row r="858" spans="1:67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</row>
    <row r="859" spans="1:67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</row>
    <row r="860" spans="1:67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</row>
    <row r="861" spans="1:67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</row>
    <row r="862" spans="1:67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</row>
    <row r="863" spans="1:67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</row>
    <row r="864" spans="1:67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</row>
    <row r="865" spans="1:67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</row>
    <row r="866" spans="1:67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</row>
    <row r="867" spans="1: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</row>
    <row r="868" spans="1:67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</row>
    <row r="869" spans="1:67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</row>
    <row r="870" spans="1:67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</row>
    <row r="871" spans="1:67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</row>
    <row r="872" spans="1:67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</row>
    <row r="873" spans="1:67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</row>
    <row r="874" spans="1:67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</row>
    <row r="875" spans="1:67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</row>
    <row r="876" spans="1:67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</row>
    <row r="877" spans="1:6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</row>
    <row r="878" spans="1:67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</row>
    <row r="879" spans="1:67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</row>
    <row r="880" spans="1:67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</row>
    <row r="881" spans="1:67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</row>
    <row r="882" spans="1:67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</row>
    <row r="883" spans="1:67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</row>
    <row r="884" spans="1:67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</row>
    <row r="885" spans="1:67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</row>
    <row r="886" spans="1:67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</row>
    <row r="887" spans="1:6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</row>
    <row r="888" spans="1:67" ht="15.75" customHeight="1">
      <c r="A888" s="33"/>
      <c r="B888" s="33"/>
      <c r="C888" s="33"/>
      <c r="D888" s="33"/>
      <c r="E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</row>
    <row r="889" spans="1:67" ht="15.75" customHeight="1">
      <c r="A889" s="33"/>
      <c r="B889" s="33"/>
      <c r="C889" s="33"/>
      <c r="D889" s="33"/>
      <c r="E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</row>
    <row r="890" spans="1:67" ht="15.75" customHeight="1">
      <c r="A890" s="33"/>
      <c r="B890" s="33"/>
      <c r="C890" s="33"/>
      <c r="D890" s="33"/>
      <c r="E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</row>
    <row r="891" spans="1:67" ht="15.75" customHeight="1">
      <c r="A891" s="33"/>
      <c r="D891" s="33"/>
      <c r="E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</row>
    <row r="892" spans="1:67" ht="15.75" customHeight="1">
      <c r="A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</row>
    <row r="893" spans="1:67" ht="15.75" customHeight="1">
      <c r="A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</row>
    <row r="894" spans="1:67" ht="15.75" customHeight="1">
      <c r="A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</row>
    <row r="895" spans="1:67" ht="15.75" customHeight="1">
      <c r="A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</row>
    <row r="896" spans="1:67" ht="15.75" customHeight="1">
      <c r="A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</row>
    <row r="897" spans="1:67" ht="15.75" customHeight="1">
      <c r="A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</row>
    <row r="898" spans="1:67" ht="15.75" customHeight="1">
      <c r="A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</row>
    <row r="899" spans="1:67" ht="15.75" customHeight="1">
      <c r="A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</row>
    <row r="900" spans="1:67" ht="15.75" customHeight="1">
      <c r="A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</row>
    <row r="901" spans="1:67" ht="15.75" customHeight="1">
      <c r="A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</row>
    <row r="902" spans="1:67" ht="15.75" customHeight="1">
      <c r="A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</row>
    <row r="903" spans="1:67" ht="15.75" customHeight="1">
      <c r="A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</row>
    <row r="904" spans="1:67" ht="15.75" customHeight="1">
      <c r="A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</row>
    <row r="905" spans="1:67" ht="15.75" customHeight="1">
      <c r="A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</row>
    <row r="906" spans="1:67" ht="15.75" customHeight="1">
      <c r="A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</row>
    <row r="907" spans="1:67" ht="15.75" customHeight="1">
      <c r="A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</row>
    <row r="908" spans="1:67" ht="15.75" customHeight="1">
      <c r="A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</row>
    <row r="909" spans="1:67" ht="15.75" customHeight="1">
      <c r="A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</row>
    <row r="910" spans="1:67" ht="15.75" customHeight="1">
      <c r="A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</row>
    <row r="911" spans="1:67" ht="15.75" customHeight="1">
      <c r="A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</row>
    <row r="912" spans="1:67" ht="15.75" customHeight="1">
      <c r="A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</row>
    <row r="913" spans="7:67" ht="15.75" customHeight="1"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</row>
    <row r="914" spans="7:67" ht="15.75" customHeight="1"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</row>
    <row r="915" spans="7:67" ht="15.75" customHeight="1"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</row>
    <row r="916" spans="7:67" ht="15.75" customHeight="1"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</row>
    <row r="917" spans="7:67" ht="15.75" customHeight="1"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</row>
    <row r="918" spans="7:67" ht="15.75" customHeight="1"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</row>
    <row r="919" spans="7:67" ht="15.75" customHeight="1"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</row>
    <row r="920" spans="7:67" ht="15.75" customHeight="1"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</row>
    <row r="921" spans="7:67" ht="15.75" customHeight="1"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</row>
    <row r="922" spans="7:67" ht="15.75" customHeight="1"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</row>
    <row r="923" spans="7:67" ht="15.75" customHeight="1"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</row>
    <row r="924" spans="7:67" ht="15.75" customHeight="1"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</row>
    <row r="925" spans="7:67" ht="15.75" customHeight="1"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</row>
    <row r="926" spans="7:67" ht="15.75" customHeight="1"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</row>
    <row r="927" spans="7:67" ht="15.75" customHeight="1"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</row>
    <row r="928" spans="7:67" ht="15.75" customHeight="1"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</row>
    <row r="929" spans="7:67" ht="15.75" customHeight="1"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3"/>
      <c r="BM929" s="33"/>
      <c r="BN929" s="33"/>
      <c r="BO929" s="33"/>
    </row>
    <row r="930" spans="7:67" ht="15.75" customHeight="1"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3"/>
      <c r="BM930" s="33"/>
      <c r="BN930" s="33"/>
      <c r="BO930" s="33"/>
    </row>
    <row r="931" spans="7:67" ht="15.75" customHeight="1"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3"/>
      <c r="BM931" s="33"/>
      <c r="BN931" s="33"/>
      <c r="BO931" s="33"/>
    </row>
    <row r="932" spans="7:67" ht="15.75" customHeight="1"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</row>
    <row r="933" spans="7:67" ht="15.75" customHeight="1"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</row>
    <row r="934" spans="7:67" ht="15.75" customHeight="1"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</row>
    <row r="935" spans="7:67" ht="15.75" customHeight="1"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  <c r="BO935" s="33"/>
    </row>
    <row r="936" spans="7:67" ht="15.75" customHeight="1"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</row>
    <row r="937" spans="7:67" ht="15.75" customHeight="1"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</row>
    <row r="938" spans="7:67" ht="15.75" customHeight="1"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</row>
    <row r="939" spans="7:67" ht="15.75" customHeight="1"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</row>
    <row r="940" spans="7:67" ht="15.75" customHeight="1"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</row>
    <row r="941" spans="7:67" ht="15.75" customHeight="1"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</row>
    <row r="942" spans="7:67" ht="15.75" customHeight="1"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</row>
    <row r="943" spans="7:67" ht="15.75" customHeight="1"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</row>
    <row r="944" spans="7:67" ht="15.75" customHeight="1"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</row>
    <row r="945" spans="7:67" ht="15.75" customHeight="1"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</row>
    <row r="946" spans="7:67" ht="15.75" customHeight="1"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</row>
    <row r="947" spans="7:67" ht="15.75" customHeight="1"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</row>
    <row r="948" spans="7:67" ht="15.75" customHeight="1"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</row>
    <row r="949" spans="7:67" ht="15.75" customHeight="1"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</row>
    <row r="950" spans="7:67" ht="15.75" customHeight="1"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</row>
    <row r="951" spans="7:67" ht="15.75" customHeight="1"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</row>
    <row r="952" spans="7:67" ht="15.75" customHeight="1"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</row>
    <row r="953" spans="7:67" ht="15.75" customHeight="1"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</row>
    <row r="954" spans="7:67" ht="15.75" customHeight="1"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</row>
    <row r="955" spans="7:67" ht="15.75" customHeight="1"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</row>
    <row r="956" spans="7:67" ht="15.75" customHeight="1"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</row>
    <row r="957" spans="7:67" ht="15.75" customHeight="1"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</row>
    <row r="958" spans="7:67" ht="15.75" customHeight="1"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</row>
    <row r="959" spans="7:67" ht="15.75" customHeight="1"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</row>
    <row r="960" spans="7:67" ht="15.75" customHeight="1"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</row>
    <row r="961" spans="7:67" ht="15.75" customHeight="1"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</row>
    <row r="962" spans="7:67" ht="15.75" customHeight="1"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</row>
    <row r="963" spans="7:67" ht="15.75" customHeight="1"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</row>
    <row r="964" spans="7:67" ht="15.75" customHeight="1"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</row>
    <row r="965" spans="7:67" ht="15.75" customHeight="1"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</row>
    <row r="966" spans="7:67" ht="15.75" customHeight="1"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</row>
    <row r="967" spans="7:67" ht="15.75" customHeight="1"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</row>
    <row r="968" spans="7:67" ht="15.75" customHeight="1"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</row>
    <row r="969" spans="7:67" ht="15.75" customHeight="1"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</row>
    <row r="970" spans="7:67" ht="15.75" customHeight="1"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</row>
    <row r="971" spans="7:67" ht="15.75" customHeight="1"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</row>
    <row r="972" spans="7:67" ht="15.75" customHeight="1"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</row>
    <row r="973" spans="7:67" ht="15.75" customHeight="1"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</row>
    <row r="974" spans="7:67" ht="15.75" customHeight="1"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</row>
    <row r="975" spans="7:67" ht="15.75" customHeight="1"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</row>
    <row r="976" spans="7:67" ht="15.75" customHeight="1"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</row>
    <row r="977" spans="11:67" ht="15.75" customHeight="1"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</row>
    <row r="978" spans="11:67" ht="15.75" customHeight="1"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</row>
    <row r="979" spans="11:67" ht="15.75" customHeight="1"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3"/>
      <c r="BM979" s="33"/>
      <c r="BN979" s="33"/>
      <c r="BO979" s="33"/>
    </row>
    <row r="980" spans="11:67" ht="15.75" customHeight="1"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3"/>
      <c r="BM980" s="33"/>
      <c r="BN980" s="33"/>
      <c r="BO980" s="33"/>
    </row>
    <row r="981" spans="11:67" ht="15.75" customHeight="1"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3"/>
      <c r="BM981" s="33"/>
      <c r="BN981" s="33"/>
      <c r="BO981" s="33"/>
    </row>
    <row r="982" spans="11:67" ht="15.75" customHeight="1"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3"/>
      <c r="BM982" s="33"/>
      <c r="BN982" s="33"/>
      <c r="BO982" s="33"/>
    </row>
    <row r="983" spans="11:67" ht="15.75" customHeight="1"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3"/>
      <c r="BM983" s="33"/>
      <c r="BN983" s="33"/>
      <c r="BO983" s="33"/>
    </row>
    <row r="984" spans="11:67" ht="15.75" customHeight="1"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/>
    </row>
    <row r="985" spans="11:67" ht="15.75" customHeight="1"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/>
    </row>
    <row r="986" spans="11:67" ht="15.75" customHeight="1"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3"/>
      <c r="BM986" s="33"/>
      <c r="BN986" s="33"/>
      <c r="BO986" s="33"/>
    </row>
    <row r="987" spans="11:67" ht="15.75" customHeight="1"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/>
    </row>
    <row r="988" spans="11:67" ht="15.75" customHeight="1"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  <c r="BJ988" s="33"/>
      <c r="BK988" s="33"/>
      <c r="BL988" s="33"/>
      <c r="BM988" s="33"/>
      <c r="BN988" s="33"/>
      <c r="BO988" s="33"/>
    </row>
    <row r="989" spans="11:67" ht="15.75" customHeight="1"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  <c r="BJ989" s="33"/>
      <c r="BK989" s="33"/>
      <c r="BL989" s="33"/>
      <c r="BM989" s="33"/>
      <c r="BN989" s="33"/>
      <c r="BO989" s="33"/>
    </row>
    <row r="990" spans="11:67" ht="15.75" customHeight="1"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  <c r="BJ990" s="33"/>
      <c r="BK990" s="33"/>
      <c r="BL990" s="33"/>
      <c r="BM990" s="33"/>
      <c r="BN990" s="33"/>
      <c r="BO990" s="33"/>
    </row>
  </sheetData>
  <mergeCells count="15">
    <mergeCell ref="B86:C86"/>
    <mergeCell ref="B94:C94"/>
    <mergeCell ref="B104:C104"/>
    <mergeCell ref="B112:C112"/>
    <mergeCell ref="B121:C121"/>
    <mergeCell ref="B41:C41"/>
    <mergeCell ref="B53:C53"/>
    <mergeCell ref="B58:C58"/>
    <mergeCell ref="B65:C65"/>
    <mergeCell ref="B78:C78"/>
    <mergeCell ref="A1:I1"/>
    <mergeCell ref="B20:C20"/>
    <mergeCell ref="B27:C27"/>
    <mergeCell ref="B32:C32"/>
    <mergeCell ref="B7:C7"/>
  </mergeCells>
  <dataValidations count="1">
    <dataValidation type="list" allowBlank="1" showErrorMessage="1" sqref="G4" xr:uid="{00000000-0002-0000-0300-000000000000}">
      <formula1>"Daily,Weekly,Monthly,Quarterly"</formula1>
    </dataValidation>
  </dataValidations>
  <pageMargins left="0.35" right="0.35" top="0.35" bottom="0.5" header="0" footer="0"/>
  <pageSetup scale="75" orientation="landscape" r:id="rId1"/>
  <headerFooter>
    <oddFooter>&amp;CTrang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5124-B4AF-4ACA-A593-B6E452E87DD7}">
  <sheetPr>
    <tabColor rgb="FFFF0000"/>
  </sheetPr>
  <dimension ref="A1:F29"/>
  <sheetViews>
    <sheetView zoomScale="70" zoomScaleNormal="70" workbookViewId="0">
      <selection activeCell="R21" sqref="R21"/>
    </sheetView>
  </sheetViews>
  <sheetFormatPr defaultRowHeight="14.4"/>
  <cols>
    <col min="1" max="1" width="27" customWidth="1"/>
    <col min="2" max="2" width="31.109375" customWidth="1"/>
    <col min="3" max="3" width="19.88671875" customWidth="1"/>
    <col min="4" max="4" width="21.88671875" customWidth="1"/>
    <col min="5" max="5" width="20.77734375" customWidth="1"/>
    <col min="6" max="6" width="21.5546875" customWidth="1"/>
  </cols>
  <sheetData>
    <row r="1" spans="1:6">
      <c r="A1" s="190" t="s">
        <v>227</v>
      </c>
    </row>
    <row r="2" spans="1:6" ht="17.399999999999999" thickBot="1">
      <c r="A2" s="191" t="s">
        <v>143</v>
      </c>
    </row>
    <row r="3" spans="1:6" ht="17.399999999999999" thickBot="1">
      <c r="A3" s="192" t="s">
        <v>42</v>
      </c>
      <c r="B3" s="193" t="s">
        <v>46</v>
      </c>
      <c r="C3" s="193" t="s">
        <v>52</v>
      </c>
      <c r="D3" s="193" t="s">
        <v>54</v>
      </c>
      <c r="E3" s="193" t="s">
        <v>55</v>
      </c>
      <c r="F3" s="193" t="s">
        <v>63</v>
      </c>
    </row>
    <row r="4" spans="1:6" ht="17.399999999999999" thickBot="1">
      <c r="A4" s="167">
        <v>1</v>
      </c>
      <c r="B4" s="168" t="s">
        <v>144</v>
      </c>
      <c r="C4" s="168" t="s">
        <v>223</v>
      </c>
      <c r="D4" s="168" t="s">
        <v>145</v>
      </c>
      <c r="E4" s="168">
        <v>90000001</v>
      </c>
      <c r="F4" s="168" t="s">
        <v>146</v>
      </c>
    </row>
    <row r="5" spans="1:6" ht="17.399999999999999" thickBot="1">
      <c r="A5" s="167">
        <v>2</v>
      </c>
      <c r="B5" s="168" t="s">
        <v>224</v>
      </c>
      <c r="C5" s="168" t="s">
        <v>225</v>
      </c>
      <c r="D5" s="168" t="s">
        <v>226</v>
      </c>
      <c r="E5" s="168">
        <v>90000002</v>
      </c>
      <c r="F5" s="168" t="s">
        <v>146</v>
      </c>
    </row>
    <row r="6" spans="1:6" ht="17.399999999999999" thickBot="1">
      <c r="A6" s="167">
        <v>3</v>
      </c>
      <c r="B6" s="168" t="s">
        <v>147</v>
      </c>
      <c r="C6" s="168" t="s">
        <v>148</v>
      </c>
      <c r="D6" s="168" t="s">
        <v>149</v>
      </c>
      <c r="E6" s="168">
        <v>90000003</v>
      </c>
      <c r="F6" s="168" t="s">
        <v>146</v>
      </c>
    </row>
    <row r="7" spans="1:6" ht="17.399999999999999" thickBot="1">
      <c r="A7" s="167">
        <v>4</v>
      </c>
      <c r="B7" s="168" t="s">
        <v>150</v>
      </c>
      <c r="C7" s="168" t="s">
        <v>151</v>
      </c>
      <c r="D7" s="168" t="s">
        <v>152</v>
      </c>
      <c r="E7" s="168">
        <v>90000004</v>
      </c>
      <c r="F7" s="168" t="s">
        <v>146</v>
      </c>
    </row>
    <row r="8" spans="1:6" ht="17.399999999999999" thickBot="1">
      <c r="A8" s="167">
        <v>5</v>
      </c>
      <c r="B8" s="168" t="s">
        <v>153</v>
      </c>
      <c r="C8" s="168" t="s">
        <v>154</v>
      </c>
      <c r="D8" s="168" t="s">
        <v>155</v>
      </c>
      <c r="E8" s="168">
        <v>90000005</v>
      </c>
      <c r="F8" s="168" t="s">
        <v>146</v>
      </c>
    </row>
    <row r="9" spans="1:6" ht="17.399999999999999" thickBot="1">
      <c r="A9" s="191" t="s">
        <v>162</v>
      </c>
    </row>
    <row r="10" spans="1:6" ht="17.399999999999999" thickBot="1">
      <c r="A10" s="192" t="s">
        <v>64</v>
      </c>
      <c r="B10" s="193" t="s">
        <v>66</v>
      </c>
      <c r="C10" s="193" t="s">
        <v>68</v>
      </c>
    </row>
    <row r="11" spans="1:6" ht="17.399999999999999" thickBot="1">
      <c r="A11" s="167">
        <v>1</v>
      </c>
      <c r="B11" s="168" t="s">
        <v>163</v>
      </c>
      <c r="C11" s="168" t="s">
        <v>164</v>
      </c>
    </row>
    <row r="12" spans="1:6" ht="17.399999999999999" thickBot="1">
      <c r="A12" s="167">
        <v>2</v>
      </c>
      <c r="B12" s="168" t="s">
        <v>165</v>
      </c>
      <c r="C12" s="168" t="s">
        <v>164</v>
      </c>
    </row>
    <row r="13" spans="1:6" ht="17.399999999999999" thickBot="1">
      <c r="A13" s="167">
        <v>3</v>
      </c>
      <c r="B13" s="168" t="s">
        <v>166</v>
      </c>
      <c r="C13" s="168" t="s">
        <v>164</v>
      </c>
    </row>
    <row r="14" spans="1:6" ht="17.399999999999999" thickBot="1">
      <c r="A14" s="167">
        <v>4</v>
      </c>
      <c r="B14" s="168" t="s">
        <v>167</v>
      </c>
      <c r="C14" s="168" t="s">
        <v>164</v>
      </c>
    </row>
    <row r="15" spans="1:6" ht="17.399999999999999" thickBot="1">
      <c r="A15" s="167">
        <v>5</v>
      </c>
      <c r="B15" s="168" t="s">
        <v>168</v>
      </c>
      <c r="C15" s="168" t="s">
        <v>164</v>
      </c>
    </row>
    <row r="16" spans="1:6" ht="17.399999999999999" thickBot="1">
      <c r="A16" s="191" t="s">
        <v>161</v>
      </c>
    </row>
    <row r="17" spans="1:6" ht="17.399999999999999" thickBot="1">
      <c r="A17" s="192" t="s">
        <v>70</v>
      </c>
      <c r="B17" s="193" t="s">
        <v>72</v>
      </c>
      <c r="C17" s="193" t="s">
        <v>64</v>
      </c>
      <c r="D17" s="193" t="s">
        <v>75</v>
      </c>
      <c r="E17" s="193" t="s">
        <v>200</v>
      </c>
      <c r="F17" s="193" t="s">
        <v>63</v>
      </c>
    </row>
    <row r="18" spans="1:6" ht="17.399999999999999" thickBot="1">
      <c r="A18" s="167">
        <v>1</v>
      </c>
      <c r="B18" s="168" t="s">
        <v>156</v>
      </c>
      <c r="C18" s="168">
        <v>4</v>
      </c>
      <c r="D18" s="168">
        <v>120000</v>
      </c>
      <c r="E18" s="168">
        <v>50</v>
      </c>
      <c r="F18" s="168" t="s">
        <v>146</v>
      </c>
    </row>
    <row r="19" spans="1:6" ht="17.399999999999999" thickBot="1">
      <c r="A19" s="167">
        <v>2</v>
      </c>
      <c r="B19" s="168" t="s">
        <v>157</v>
      </c>
      <c r="C19" s="168">
        <v>3</v>
      </c>
      <c r="D19" s="168">
        <v>2500000</v>
      </c>
      <c r="E19" s="168">
        <v>10</v>
      </c>
      <c r="F19" s="168" t="s">
        <v>146</v>
      </c>
    </row>
    <row r="20" spans="1:6" ht="17.399999999999999" thickBot="1">
      <c r="A20" s="167">
        <v>3</v>
      </c>
      <c r="B20" s="168" t="s">
        <v>158</v>
      </c>
      <c r="C20" s="168">
        <v>2</v>
      </c>
      <c r="D20" s="168">
        <v>850000</v>
      </c>
      <c r="E20" s="168">
        <v>20</v>
      </c>
      <c r="F20" s="168" t="s">
        <v>146</v>
      </c>
    </row>
    <row r="21" spans="1:6" ht="17.399999999999999" thickBot="1">
      <c r="A21" s="167">
        <v>4</v>
      </c>
      <c r="B21" s="168" t="s">
        <v>159</v>
      </c>
      <c r="C21" s="168">
        <v>5</v>
      </c>
      <c r="D21" s="168">
        <v>180000</v>
      </c>
      <c r="E21" s="168">
        <v>100</v>
      </c>
      <c r="F21" s="168" t="s">
        <v>146</v>
      </c>
    </row>
    <row r="22" spans="1:6" ht="17.399999999999999" thickBot="1">
      <c r="A22" s="167">
        <v>5</v>
      </c>
      <c r="B22" s="168" t="s">
        <v>160</v>
      </c>
      <c r="C22" s="168">
        <v>4</v>
      </c>
      <c r="D22" s="168">
        <v>90000</v>
      </c>
      <c r="E22" s="168">
        <v>30</v>
      </c>
      <c r="F22" s="168" t="s">
        <v>146</v>
      </c>
    </row>
    <row r="23" spans="1:6" ht="17.399999999999999" thickBot="1">
      <c r="A23" s="191" t="s">
        <v>169</v>
      </c>
    </row>
    <row r="24" spans="1:6" ht="17.399999999999999" thickBot="1">
      <c r="A24" s="192" t="s">
        <v>89</v>
      </c>
      <c r="B24" s="193" t="s">
        <v>91</v>
      </c>
      <c r="C24" s="193" t="s">
        <v>42</v>
      </c>
      <c r="D24" s="193" t="s">
        <v>92</v>
      </c>
      <c r="E24" s="193" t="s">
        <v>63</v>
      </c>
      <c r="F24" s="193" t="s">
        <v>58</v>
      </c>
    </row>
    <row r="25" spans="1:6" ht="17.399999999999999" thickBot="1">
      <c r="A25" s="167">
        <v>1</v>
      </c>
      <c r="B25" s="168" t="s">
        <v>170</v>
      </c>
      <c r="C25" s="168">
        <v>3</v>
      </c>
      <c r="D25" s="168">
        <v>120000</v>
      </c>
      <c r="E25" s="168" t="s">
        <v>171</v>
      </c>
      <c r="F25" s="168" t="s">
        <v>172</v>
      </c>
    </row>
    <row r="26" spans="1:6" ht="17.399999999999999" thickBot="1">
      <c r="A26" s="167">
        <v>2</v>
      </c>
      <c r="B26" s="168" t="s">
        <v>173</v>
      </c>
      <c r="C26" s="168">
        <v>4</v>
      </c>
      <c r="D26" s="168">
        <v>2500000</v>
      </c>
      <c r="E26" s="168" t="s">
        <v>174</v>
      </c>
      <c r="F26" s="168" t="s">
        <v>175</v>
      </c>
    </row>
    <row r="27" spans="1:6" ht="17.399999999999999" thickBot="1">
      <c r="A27" s="167">
        <v>3</v>
      </c>
      <c r="B27" s="168" t="s">
        <v>176</v>
      </c>
      <c r="C27" s="168">
        <v>5</v>
      </c>
      <c r="D27" s="168">
        <v>850000</v>
      </c>
      <c r="E27" s="168" t="s">
        <v>177</v>
      </c>
      <c r="F27" s="168" t="s">
        <v>178</v>
      </c>
    </row>
    <row r="28" spans="1:6" ht="17.399999999999999" thickBot="1">
      <c r="A28" s="167">
        <v>4</v>
      </c>
      <c r="B28" s="168" t="s">
        <v>179</v>
      </c>
      <c r="C28" s="168">
        <v>3</v>
      </c>
      <c r="D28" s="168">
        <v>180000</v>
      </c>
      <c r="E28" s="168" t="s">
        <v>171</v>
      </c>
      <c r="F28" s="168" t="s">
        <v>172</v>
      </c>
    </row>
    <row r="29" spans="1:6" ht="17.399999999999999" thickBot="1">
      <c r="A29" s="167">
        <v>5</v>
      </c>
      <c r="B29" s="168" t="s">
        <v>180</v>
      </c>
      <c r="C29" s="168">
        <v>3</v>
      </c>
      <c r="D29" s="168">
        <v>90000</v>
      </c>
      <c r="E29" s="168" t="s">
        <v>181</v>
      </c>
      <c r="F29" s="16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O1000"/>
  <sheetViews>
    <sheetView showGridLines="0" workbookViewId="0">
      <pane xSplit="2" ySplit="10" topLeftCell="C44" activePane="bottomRight" state="frozen"/>
      <selection pane="topRight" activeCell="C1" sqref="C1"/>
      <selection pane="bottomLeft" activeCell="A11" sqref="A11"/>
      <selection pane="bottomRight" activeCell="M1" sqref="M1:M1048576"/>
    </sheetView>
  </sheetViews>
  <sheetFormatPr defaultColWidth="14.44140625" defaultRowHeight="15" customHeight="1"/>
  <cols>
    <col min="1" max="1" width="6" customWidth="1"/>
    <col min="2" max="2" width="48.33203125" customWidth="1"/>
    <col min="3" max="3" width="15.6640625" customWidth="1"/>
    <col min="4" max="4" width="12" customWidth="1"/>
    <col min="5" max="5" width="19" customWidth="1"/>
    <col min="6" max="6" width="11.88671875" customWidth="1"/>
    <col min="7" max="7" width="19" customWidth="1"/>
    <col min="8" max="8" width="21.33203125" customWidth="1"/>
    <col min="9" max="9" width="14.109375" customWidth="1"/>
    <col min="10" max="10" width="4.6640625" customWidth="1"/>
    <col min="11" max="11" width="5.109375" customWidth="1"/>
    <col min="12" max="12" width="4.44140625" customWidth="1"/>
    <col min="13" max="13" width="5.109375" customWidth="1"/>
    <col min="14" max="22" width="3.44140625" customWidth="1"/>
    <col min="23" max="67" width="4" customWidth="1"/>
  </cols>
  <sheetData>
    <row r="1" spans="1:67" ht="48.75" customHeight="1">
      <c r="A1" s="171" t="s">
        <v>37</v>
      </c>
      <c r="B1" s="170"/>
      <c r="C1" s="170"/>
      <c r="D1" s="170"/>
      <c r="E1" s="170"/>
      <c r="F1" s="170"/>
      <c r="G1" s="170"/>
      <c r="H1" s="170"/>
      <c r="I1" s="170"/>
      <c r="J1" s="35"/>
      <c r="K1" s="36"/>
      <c r="L1" s="36"/>
      <c r="M1" s="37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9" t="s">
        <v>0</v>
      </c>
      <c r="BJ1" s="38"/>
      <c r="BK1" s="38"/>
      <c r="BL1" s="38"/>
      <c r="BM1" s="38"/>
      <c r="BN1" s="38"/>
      <c r="BO1" s="38"/>
    </row>
    <row r="2" spans="1:67" ht="23.25" customHeight="1">
      <c r="A2" s="40"/>
      <c r="B2" s="40" t="s">
        <v>8</v>
      </c>
      <c r="C2" s="40" t="s">
        <v>9</v>
      </c>
      <c r="D2" s="41"/>
      <c r="E2" s="41"/>
      <c r="F2" s="41"/>
      <c r="G2" s="41"/>
      <c r="H2" s="41"/>
      <c r="I2" s="41"/>
      <c r="J2" s="35"/>
      <c r="K2" s="36"/>
      <c r="L2" s="36"/>
      <c r="M2" s="37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9"/>
      <c r="BJ2" s="38"/>
      <c r="BK2" s="38"/>
      <c r="BL2" s="38"/>
      <c r="BM2" s="38"/>
      <c r="BN2" s="38"/>
      <c r="BO2" s="38"/>
    </row>
    <row r="3" spans="1:67" ht="21.75" customHeight="1">
      <c r="A3" s="42">
        <v>1</v>
      </c>
      <c r="B3" s="43" t="s">
        <v>10</v>
      </c>
      <c r="C3" s="44">
        <v>1</v>
      </c>
      <c r="D3" s="45"/>
      <c r="E3" s="45"/>
      <c r="F3" s="45"/>
      <c r="G3" s="45"/>
      <c r="H3" s="46"/>
      <c r="I3" s="45"/>
      <c r="J3" s="35"/>
      <c r="K3" s="36"/>
      <c r="L3" s="36"/>
      <c r="M3" s="37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9"/>
      <c r="BJ3" s="38"/>
      <c r="BK3" s="38"/>
      <c r="BL3" s="38"/>
      <c r="BM3" s="38"/>
      <c r="BN3" s="38"/>
      <c r="BO3" s="38"/>
    </row>
    <row r="4" spans="1:67" ht="17.25" customHeight="1">
      <c r="A4" s="42">
        <v>2</v>
      </c>
      <c r="B4" s="47" t="s">
        <v>11</v>
      </c>
      <c r="C4" s="44">
        <v>1</v>
      </c>
      <c r="D4" s="35"/>
      <c r="E4" s="48" t="s">
        <v>2</v>
      </c>
      <c r="F4" s="49" t="s">
        <v>12</v>
      </c>
      <c r="G4" s="172">
        <v>45999</v>
      </c>
      <c r="H4" s="173"/>
      <c r="I4" s="36"/>
      <c r="J4" s="50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</row>
    <row r="5" spans="1:67" ht="19.5" customHeight="1">
      <c r="A5" s="42">
        <v>3</v>
      </c>
      <c r="B5" s="43" t="s">
        <v>13</v>
      </c>
      <c r="C5" s="44">
        <v>1</v>
      </c>
      <c r="D5" s="35"/>
      <c r="E5" s="48" t="s">
        <v>4</v>
      </c>
      <c r="F5" s="49"/>
      <c r="G5" s="51">
        <f>G4+54</f>
        <v>46053</v>
      </c>
      <c r="H5" s="52"/>
      <c r="I5" s="36"/>
      <c r="J5" s="50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</row>
    <row r="6" spans="1:67" ht="17.25" customHeight="1">
      <c r="A6" s="42">
        <v>4</v>
      </c>
      <c r="B6" s="43" t="s">
        <v>14</v>
      </c>
      <c r="C6" s="44">
        <v>1</v>
      </c>
      <c r="D6" s="35"/>
      <c r="E6" s="53"/>
      <c r="F6" s="49" t="s">
        <v>15</v>
      </c>
      <c r="G6" s="54" t="s">
        <v>16</v>
      </c>
      <c r="H6" s="36"/>
      <c r="I6" s="36"/>
      <c r="J6" s="50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</row>
    <row r="7" spans="1:67" ht="18" customHeight="1">
      <c r="A7" s="42">
        <v>5</v>
      </c>
      <c r="B7" s="43" t="s">
        <v>17</v>
      </c>
      <c r="C7" s="44">
        <v>1</v>
      </c>
      <c r="D7" s="55"/>
      <c r="E7" s="56" t="s">
        <v>18</v>
      </c>
      <c r="F7" s="57" t="s">
        <v>19</v>
      </c>
      <c r="G7" s="58">
        <v>5</v>
      </c>
      <c r="H7" s="59"/>
      <c r="I7" s="59"/>
      <c r="J7" s="60"/>
      <c r="K7" s="61"/>
      <c r="L7" s="61"/>
      <c r="M7" s="62">
        <f>IF(G6="Weekly",G4+7*(G7-1),IF(G6="Daily",G4+(G7-1),IF(G6="Monthly",EDATE($G$4,($G$7-1)),EDATE($G$4,3*($G$7-1)))))</f>
        <v>46003</v>
      </c>
      <c r="N7" s="62">
        <f t="shared" ref="N7:BO7" si="0">IF($G$6="Daily",M7+1,IF($G$6="Weekly",M7+7,IF($G$6="Monthly",EDATE($G$4,N9-1),EDATE($G$4,3*(N9-1)))))</f>
        <v>46004</v>
      </c>
      <c r="O7" s="62">
        <f t="shared" si="0"/>
        <v>46005</v>
      </c>
      <c r="P7" s="62">
        <f t="shared" si="0"/>
        <v>46006</v>
      </c>
      <c r="Q7" s="62">
        <f t="shared" si="0"/>
        <v>46007</v>
      </c>
      <c r="R7" s="62">
        <f t="shared" si="0"/>
        <v>46008</v>
      </c>
      <c r="S7" s="62">
        <f t="shared" si="0"/>
        <v>46009</v>
      </c>
      <c r="T7" s="62">
        <f t="shared" si="0"/>
        <v>46010</v>
      </c>
      <c r="U7" s="62">
        <f t="shared" si="0"/>
        <v>46011</v>
      </c>
      <c r="V7" s="62">
        <f t="shared" si="0"/>
        <v>46012</v>
      </c>
      <c r="W7" s="62">
        <f t="shared" si="0"/>
        <v>46013</v>
      </c>
      <c r="X7" s="62">
        <f t="shared" si="0"/>
        <v>46014</v>
      </c>
      <c r="Y7" s="62">
        <f t="shared" si="0"/>
        <v>46015</v>
      </c>
      <c r="Z7" s="62">
        <f t="shared" si="0"/>
        <v>46016</v>
      </c>
      <c r="AA7" s="62">
        <f t="shared" si="0"/>
        <v>46017</v>
      </c>
      <c r="AB7" s="62">
        <f t="shared" si="0"/>
        <v>46018</v>
      </c>
      <c r="AC7" s="62">
        <f t="shared" si="0"/>
        <v>46019</v>
      </c>
      <c r="AD7" s="62">
        <f t="shared" si="0"/>
        <v>46020</v>
      </c>
      <c r="AE7" s="62">
        <f t="shared" si="0"/>
        <v>46021</v>
      </c>
      <c r="AF7" s="62">
        <f t="shared" si="0"/>
        <v>46022</v>
      </c>
      <c r="AG7" s="62">
        <f t="shared" si="0"/>
        <v>46023</v>
      </c>
      <c r="AH7" s="62">
        <f t="shared" si="0"/>
        <v>46024</v>
      </c>
      <c r="AI7" s="62">
        <f t="shared" si="0"/>
        <v>46025</v>
      </c>
      <c r="AJ7" s="62">
        <f t="shared" si="0"/>
        <v>46026</v>
      </c>
      <c r="AK7" s="62">
        <f t="shared" si="0"/>
        <v>46027</v>
      </c>
      <c r="AL7" s="62">
        <f t="shared" si="0"/>
        <v>46028</v>
      </c>
      <c r="AM7" s="62">
        <f t="shared" si="0"/>
        <v>46029</v>
      </c>
      <c r="AN7" s="62">
        <f t="shared" si="0"/>
        <v>46030</v>
      </c>
      <c r="AO7" s="62">
        <f t="shared" si="0"/>
        <v>46031</v>
      </c>
      <c r="AP7" s="62">
        <f t="shared" si="0"/>
        <v>46032</v>
      </c>
      <c r="AQ7" s="62">
        <f t="shared" si="0"/>
        <v>46033</v>
      </c>
      <c r="AR7" s="62">
        <f t="shared" si="0"/>
        <v>46034</v>
      </c>
      <c r="AS7" s="62">
        <f t="shared" si="0"/>
        <v>46035</v>
      </c>
      <c r="AT7" s="62">
        <f t="shared" si="0"/>
        <v>46036</v>
      </c>
      <c r="AU7" s="62">
        <f t="shared" si="0"/>
        <v>46037</v>
      </c>
      <c r="AV7" s="62">
        <f t="shared" si="0"/>
        <v>46038</v>
      </c>
      <c r="AW7" s="62">
        <f t="shared" si="0"/>
        <v>46039</v>
      </c>
      <c r="AX7" s="62">
        <f t="shared" si="0"/>
        <v>46040</v>
      </c>
      <c r="AY7" s="62">
        <f t="shared" si="0"/>
        <v>46041</v>
      </c>
      <c r="AZ7" s="62">
        <f t="shared" si="0"/>
        <v>46042</v>
      </c>
      <c r="BA7" s="62">
        <f t="shared" si="0"/>
        <v>46043</v>
      </c>
      <c r="BB7" s="62">
        <f t="shared" si="0"/>
        <v>46044</v>
      </c>
      <c r="BC7" s="62">
        <f t="shared" si="0"/>
        <v>46045</v>
      </c>
      <c r="BD7" s="62">
        <f t="shared" si="0"/>
        <v>46046</v>
      </c>
      <c r="BE7" s="62">
        <f t="shared" si="0"/>
        <v>46047</v>
      </c>
      <c r="BF7" s="62">
        <f t="shared" si="0"/>
        <v>46048</v>
      </c>
      <c r="BG7" s="62">
        <f t="shared" si="0"/>
        <v>46049</v>
      </c>
      <c r="BH7" s="62">
        <f t="shared" si="0"/>
        <v>46050</v>
      </c>
      <c r="BI7" s="62">
        <f t="shared" si="0"/>
        <v>46051</v>
      </c>
      <c r="BJ7" s="62">
        <f t="shared" si="0"/>
        <v>46052</v>
      </c>
      <c r="BK7" s="62">
        <f t="shared" si="0"/>
        <v>46053</v>
      </c>
      <c r="BL7" s="62">
        <f t="shared" si="0"/>
        <v>46054</v>
      </c>
      <c r="BM7" s="62">
        <f t="shared" si="0"/>
        <v>46055</v>
      </c>
      <c r="BN7" s="62">
        <f t="shared" si="0"/>
        <v>46056</v>
      </c>
      <c r="BO7" s="62">
        <f t="shared" si="0"/>
        <v>46057</v>
      </c>
    </row>
    <row r="8" spans="1:67" ht="18" customHeight="1">
      <c r="A8" s="42">
        <v>6</v>
      </c>
      <c r="B8" s="43" t="s">
        <v>20</v>
      </c>
      <c r="C8" s="44">
        <v>1</v>
      </c>
      <c r="D8" s="63"/>
      <c r="E8" s="48" t="s">
        <v>21</v>
      </c>
      <c r="F8" s="64"/>
      <c r="G8" s="65"/>
      <c r="H8" s="174"/>
      <c r="I8" s="175"/>
      <c r="J8" s="50"/>
      <c r="K8" s="38"/>
      <c r="L8" s="38"/>
      <c r="M8" s="66" t="str">
        <f t="shared" ref="M8:BO8" si="1">DAY(M7)&amp;CHAR(10)&amp;LEFT(TEXT(M7,"mmm"),3)&amp;CHAR(10)&amp;"'"&amp;RIGHT(YEAR(M7),2)</f>
        <v>12
Thg
'25</v>
      </c>
      <c r="N8" s="66" t="str">
        <f t="shared" si="1"/>
        <v>13
Thg
'25</v>
      </c>
      <c r="O8" s="66" t="str">
        <f t="shared" si="1"/>
        <v>14
Thg
'25</v>
      </c>
      <c r="P8" s="66" t="str">
        <f t="shared" si="1"/>
        <v>15
Thg
'25</v>
      </c>
      <c r="Q8" s="66" t="str">
        <f t="shared" si="1"/>
        <v>16
Thg
'25</v>
      </c>
      <c r="R8" s="66" t="str">
        <f t="shared" si="1"/>
        <v>17
Thg
'25</v>
      </c>
      <c r="S8" s="66" t="str">
        <f t="shared" si="1"/>
        <v>18
Thg
'25</v>
      </c>
      <c r="T8" s="66" t="str">
        <f t="shared" si="1"/>
        <v>19
Thg
'25</v>
      </c>
      <c r="U8" s="66" t="str">
        <f t="shared" si="1"/>
        <v>20
Thg
'25</v>
      </c>
      <c r="V8" s="66" t="str">
        <f t="shared" si="1"/>
        <v>21
Thg
'25</v>
      </c>
      <c r="W8" s="66" t="str">
        <f t="shared" si="1"/>
        <v>22
Thg
'25</v>
      </c>
      <c r="X8" s="66" t="str">
        <f t="shared" si="1"/>
        <v>23
Thg
'25</v>
      </c>
      <c r="Y8" s="66" t="str">
        <f t="shared" si="1"/>
        <v>24
Thg
'25</v>
      </c>
      <c r="Z8" s="66" t="str">
        <f t="shared" si="1"/>
        <v>25
Thg
'25</v>
      </c>
      <c r="AA8" s="66" t="str">
        <f t="shared" si="1"/>
        <v>26
Thg
'25</v>
      </c>
      <c r="AB8" s="66" t="str">
        <f t="shared" si="1"/>
        <v>27
Thg
'25</v>
      </c>
      <c r="AC8" s="66" t="str">
        <f t="shared" si="1"/>
        <v>28
Thg
'25</v>
      </c>
      <c r="AD8" s="66" t="str">
        <f t="shared" si="1"/>
        <v>29
Thg
'25</v>
      </c>
      <c r="AE8" s="66" t="str">
        <f t="shared" si="1"/>
        <v>30
Thg
'25</v>
      </c>
      <c r="AF8" s="66" t="str">
        <f t="shared" si="1"/>
        <v>31
Thg
'25</v>
      </c>
      <c r="AG8" s="66" t="str">
        <f t="shared" si="1"/>
        <v>1
Thg
'26</v>
      </c>
      <c r="AH8" s="66" t="str">
        <f t="shared" si="1"/>
        <v>2
Thg
'26</v>
      </c>
      <c r="AI8" s="66" t="str">
        <f t="shared" si="1"/>
        <v>3
Thg
'26</v>
      </c>
      <c r="AJ8" s="66" t="str">
        <f t="shared" si="1"/>
        <v>4
Thg
'26</v>
      </c>
      <c r="AK8" s="66" t="str">
        <f t="shared" si="1"/>
        <v>5
Thg
'26</v>
      </c>
      <c r="AL8" s="66" t="str">
        <f t="shared" si="1"/>
        <v>6
Thg
'26</v>
      </c>
      <c r="AM8" s="66" t="str">
        <f t="shared" si="1"/>
        <v>7
Thg
'26</v>
      </c>
      <c r="AN8" s="66" t="str">
        <f t="shared" si="1"/>
        <v>8
Thg
'26</v>
      </c>
      <c r="AO8" s="66" t="str">
        <f t="shared" si="1"/>
        <v>9
Thg
'26</v>
      </c>
      <c r="AP8" s="66" t="str">
        <f t="shared" si="1"/>
        <v>10
Thg
'26</v>
      </c>
      <c r="AQ8" s="66" t="str">
        <f t="shared" si="1"/>
        <v>11
Thg
'26</v>
      </c>
      <c r="AR8" s="66" t="str">
        <f t="shared" si="1"/>
        <v>12
Thg
'26</v>
      </c>
      <c r="AS8" s="66" t="str">
        <f t="shared" si="1"/>
        <v>13
Thg
'26</v>
      </c>
      <c r="AT8" s="66" t="str">
        <f t="shared" si="1"/>
        <v>14
Thg
'26</v>
      </c>
      <c r="AU8" s="66" t="str">
        <f t="shared" si="1"/>
        <v>15
Thg
'26</v>
      </c>
      <c r="AV8" s="66" t="str">
        <f t="shared" si="1"/>
        <v>16
Thg
'26</v>
      </c>
      <c r="AW8" s="66" t="str">
        <f t="shared" si="1"/>
        <v>17
Thg
'26</v>
      </c>
      <c r="AX8" s="66" t="str">
        <f t="shared" si="1"/>
        <v>18
Thg
'26</v>
      </c>
      <c r="AY8" s="66" t="str">
        <f t="shared" si="1"/>
        <v>19
Thg
'26</v>
      </c>
      <c r="AZ8" s="66" t="str">
        <f t="shared" si="1"/>
        <v>20
Thg
'26</v>
      </c>
      <c r="BA8" s="66" t="str">
        <f t="shared" si="1"/>
        <v>21
Thg
'26</v>
      </c>
      <c r="BB8" s="66" t="str">
        <f t="shared" si="1"/>
        <v>22
Thg
'26</v>
      </c>
      <c r="BC8" s="66" t="str">
        <f t="shared" si="1"/>
        <v>23
Thg
'26</v>
      </c>
      <c r="BD8" s="66" t="str">
        <f t="shared" si="1"/>
        <v>24
Thg
'26</v>
      </c>
      <c r="BE8" s="66" t="str">
        <f t="shared" si="1"/>
        <v>25
Thg
'26</v>
      </c>
      <c r="BF8" s="66" t="str">
        <f t="shared" si="1"/>
        <v>26
Thg
'26</v>
      </c>
      <c r="BG8" s="66" t="str">
        <f t="shared" si="1"/>
        <v>27
Thg
'26</v>
      </c>
      <c r="BH8" s="66" t="str">
        <f t="shared" si="1"/>
        <v>28
Thg
'26</v>
      </c>
      <c r="BI8" s="66" t="str">
        <f t="shared" si="1"/>
        <v>29
Thg
'26</v>
      </c>
      <c r="BJ8" s="66" t="str">
        <f t="shared" si="1"/>
        <v>30
Thg
'26</v>
      </c>
      <c r="BK8" s="66" t="str">
        <f t="shared" si="1"/>
        <v>31
Thg
'26</v>
      </c>
      <c r="BL8" s="66" t="str">
        <f t="shared" si="1"/>
        <v>1
Thg
'26</v>
      </c>
      <c r="BM8" s="66" t="str">
        <f t="shared" si="1"/>
        <v>2
Thg
'26</v>
      </c>
      <c r="BN8" s="66" t="str">
        <f t="shared" si="1"/>
        <v>3
Thg
'26</v>
      </c>
      <c r="BO8" s="66" t="str">
        <f t="shared" si="1"/>
        <v>4
Thg
'26</v>
      </c>
    </row>
    <row r="9" spans="1:67" ht="25.5" customHeight="1">
      <c r="A9" s="67" t="s">
        <v>22</v>
      </c>
      <c r="B9" s="68" t="s">
        <v>23</v>
      </c>
      <c r="C9" s="69" t="s">
        <v>24</v>
      </c>
      <c r="D9" s="69" t="s">
        <v>25</v>
      </c>
      <c r="E9" s="68" t="s">
        <v>26</v>
      </c>
      <c r="F9" s="69" t="s">
        <v>27</v>
      </c>
      <c r="G9" s="70" t="s">
        <v>28</v>
      </c>
      <c r="H9" s="70" t="s">
        <v>29</v>
      </c>
      <c r="I9" s="71" t="s">
        <v>30</v>
      </c>
      <c r="J9" s="72" t="s">
        <v>31</v>
      </c>
      <c r="K9" s="72" t="s">
        <v>32</v>
      </c>
      <c r="L9" s="72" t="s">
        <v>33</v>
      </c>
      <c r="M9" s="73">
        <f>G7</f>
        <v>5</v>
      </c>
      <c r="N9" s="73">
        <f t="shared" ref="N9:BN9" si="2">M9+1</f>
        <v>6</v>
      </c>
      <c r="O9" s="73">
        <f t="shared" si="2"/>
        <v>7</v>
      </c>
      <c r="P9" s="73">
        <f t="shared" si="2"/>
        <v>8</v>
      </c>
      <c r="Q9" s="73">
        <f t="shared" si="2"/>
        <v>9</v>
      </c>
      <c r="R9" s="73">
        <f t="shared" si="2"/>
        <v>10</v>
      </c>
      <c r="S9" s="73">
        <f t="shared" si="2"/>
        <v>11</v>
      </c>
      <c r="T9" s="73">
        <f t="shared" si="2"/>
        <v>12</v>
      </c>
      <c r="U9" s="73">
        <f t="shared" si="2"/>
        <v>13</v>
      </c>
      <c r="V9" s="73">
        <f t="shared" si="2"/>
        <v>14</v>
      </c>
      <c r="W9" s="73">
        <f t="shared" si="2"/>
        <v>15</v>
      </c>
      <c r="X9" s="73">
        <f t="shared" si="2"/>
        <v>16</v>
      </c>
      <c r="Y9" s="73">
        <f t="shared" si="2"/>
        <v>17</v>
      </c>
      <c r="Z9" s="73">
        <f t="shared" si="2"/>
        <v>18</v>
      </c>
      <c r="AA9" s="73">
        <f t="shared" si="2"/>
        <v>19</v>
      </c>
      <c r="AB9" s="73">
        <f t="shared" si="2"/>
        <v>20</v>
      </c>
      <c r="AC9" s="73">
        <f t="shared" si="2"/>
        <v>21</v>
      </c>
      <c r="AD9" s="73">
        <f t="shared" si="2"/>
        <v>22</v>
      </c>
      <c r="AE9" s="73">
        <f t="shared" si="2"/>
        <v>23</v>
      </c>
      <c r="AF9" s="73">
        <f t="shared" si="2"/>
        <v>24</v>
      </c>
      <c r="AG9" s="73">
        <f t="shared" si="2"/>
        <v>25</v>
      </c>
      <c r="AH9" s="73">
        <f t="shared" si="2"/>
        <v>26</v>
      </c>
      <c r="AI9" s="73">
        <f t="shared" si="2"/>
        <v>27</v>
      </c>
      <c r="AJ9" s="73">
        <f t="shared" si="2"/>
        <v>28</v>
      </c>
      <c r="AK9" s="73">
        <f t="shared" si="2"/>
        <v>29</v>
      </c>
      <c r="AL9" s="73">
        <f t="shared" si="2"/>
        <v>30</v>
      </c>
      <c r="AM9" s="73">
        <f t="shared" si="2"/>
        <v>31</v>
      </c>
      <c r="AN9" s="73">
        <f t="shared" si="2"/>
        <v>32</v>
      </c>
      <c r="AO9" s="73">
        <f t="shared" si="2"/>
        <v>33</v>
      </c>
      <c r="AP9" s="73">
        <f t="shared" si="2"/>
        <v>34</v>
      </c>
      <c r="AQ9" s="73">
        <f t="shared" si="2"/>
        <v>35</v>
      </c>
      <c r="AR9" s="73">
        <f t="shared" si="2"/>
        <v>36</v>
      </c>
      <c r="AS9" s="73">
        <f t="shared" si="2"/>
        <v>37</v>
      </c>
      <c r="AT9" s="73">
        <f t="shared" si="2"/>
        <v>38</v>
      </c>
      <c r="AU9" s="73">
        <f t="shared" si="2"/>
        <v>39</v>
      </c>
      <c r="AV9" s="73">
        <f t="shared" si="2"/>
        <v>40</v>
      </c>
      <c r="AW9" s="73">
        <f t="shared" si="2"/>
        <v>41</v>
      </c>
      <c r="AX9" s="73">
        <f t="shared" si="2"/>
        <v>42</v>
      </c>
      <c r="AY9" s="73">
        <f t="shared" si="2"/>
        <v>43</v>
      </c>
      <c r="AZ9" s="73">
        <f t="shared" si="2"/>
        <v>44</v>
      </c>
      <c r="BA9" s="73">
        <f t="shared" si="2"/>
        <v>45</v>
      </c>
      <c r="BB9" s="73">
        <f t="shared" si="2"/>
        <v>46</v>
      </c>
      <c r="BC9" s="73">
        <f t="shared" si="2"/>
        <v>47</v>
      </c>
      <c r="BD9" s="73">
        <f t="shared" si="2"/>
        <v>48</v>
      </c>
      <c r="BE9" s="73">
        <f t="shared" si="2"/>
        <v>49</v>
      </c>
      <c r="BF9" s="73">
        <f t="shared" si="2"/>
        <v>50</v>
      </c>
      <c r="BG9" s="73">
        <f t="shared" si="2"/>
        <v>51</v>
      </c>
      <c r="BH9" s="73">
        <f t="shared" si="2"/>
        <v>52</v>
      </c>
      <c r="BI9" s="73">
        <f t="shared" si="2"/>
        <v>53</v>
      </c>
      <c r="BJ9" s="73">
        <f t="shared" si="2"/>
        <v>54</v>
      </c>
      <c r="BK9" s="73">
        <f t="shared" si="2"/>
        <v>55</v>
      </c>
      <c r="BL9" s="73">
        <f t="shared" si="2"/>
        <v>56</v>
      </c>
      <c r="BM9" s="73">
        <f t="shared" si="2"/>
        <v>57</v>
      </c>
      <c r="BN9" s="73">
        <f t="shared" si="2"/>
        <v>58</v>
      </c>
      <c r="BO9" s="36"/>
    </row>
    <row r="10" spans="1:67" ht="21" customHeight="1">
      <c r="A10" s="74">
        <v>1</v>
      </c>
      <c r="B10" s="43"/>
      <c r="C10" s="75"/>
      <c r="D10" s="75"/>
      <c r="E10" s="76"/>
      <c r="F10" s="77"/>
      <c r="G10" s="78"/>
      <c r="H10" s="78"/>
      <c r="I10" s="79"/>
      <c r="J10" s="80"/>
      <c r="K10" s="81"/>
      <c r="L10" s="82" t="str">
        <f t="shared" ref="L10:L12" si="3">IF(OR(ISBLANK(J10),ISBLANK(K10)),"",K10-J10+1)</f>
        <v/>
      </c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4"/>
    </row>
    <row r="11" spans="1:67" ht="14.25" customHeight="1">
      <c r="A11" s="85"/>
      <c r="B11" s="86"/>
      <c r="C11" s="87"/>
      <c r="D11" s="87"/>
      <c r="E11" s="88"/>
      <c r="F11" s="89"/>
      <c r="G11" s="90">
        <f>G4</f>
        <v>45999</v>
      </c>
      <c r="H11" s="90">
        <f>G11+(I11-1)</f>
        <v>46008</v>
      </c>
      <c r="I11" s="91">
        <v>10</v>
      </c>
      <c r="J11" s="92"/>
      <c r="K11" s="93"/>
      <c r="L11" s="94" t="str">
        <f t="shared" si="3"/>
        <v/>
      </c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4"/>
    </row>
    <row r="12" spans="1:67" ht="14.25" customHeight="1">
      <c r="A12" s="95"/>
      <c r="B12" s="96"/>
      <c r="C12" s="97"/>
      <c r="D12" s="97"/>
      <c r="E12" s="98"/>
      <c r="F12" s="99"/>
      <c r="G12" s="100"/>
      <c r="H12" s="100"/>
      <c r="I12" s="101"/>
      <c r="J12" s="102"/>
      <c r="K12" s="103"/>
      <c r="L12" s="97" t="str">
        <f t="shared" si="3"/>
        <v/>
      </c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0"/>
    </row>
    <row r="13" spans="1:67" ht="14.25" customHeight="1">
      <c r="A13" s="105"/>
      <c r="B13" s="106"/>
      <c r="C13" s="82"/>
      <c r="D13" s="82"/>
      <c r="E13" s="107"/>
      <c r="F13" s="108"/>
      <c r="G13" s="109">
        <f>G11</f>
        <v>45999</v>
      </c>
      <c r="H13" s="90">
        <f>G13+I13</f>
        <v>46001</v>
      </c>
      <c r="I13" s="110">
        <v>2</v>
      </c>
      <c r="J13" s="111"/>
      <c r="K13" s="112"/>
      <c r="L13" s="82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11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4"/>
    </row>
    <row r="14" spans="1:67" ht="14.25" customHeight="1">
      <c r="A14" s="105"/>
      <c r="B14" s="106"/>
      <c r="C14" s="82"/>
      <c r="D14" s="82"/>
      <c r="E14" s="107"/>
      <c r="F14" s="108"/>
      <c r="G14" s="114">
        <f>H13</f>
        <v>46001</v>
      </c>
      <c r="H14" s="90">
        <f t="shared" ref="H14:H23" si="4">G14+I14</f>
        <v>46004</v>
      </c>
      <c r="I14" s="110">
        <v>3</v>
      </c>
      <c r="J14" s="111"/>
      <c r="K14" s="112"/>
      <c r="L14" s="82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11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4"/>
    </row>
    <row r="15" spans="1:67" ht="21" customHeight="1">
      <c r="A15" s="95"/>
      <c r="B15" s="106"/>
      <c r="C15" s="97"/>
      <c r="D15" s="97"/>
      <c r="E15" s="98"/>
      <c r="F15" s="99"/>
      <c r="G15" s="114">
        <f t="shared" ref="G15:G22" si="5">H14</f>
        <v>46004</v>
      </c>
      <c r="H15" s="90">
        <f t="shared" si="4"/>
        <v>46009</v>
      </c>
      <c r="I15" s="101">
        <v>5</v>
      </c>
      <c r="J15" s="102"/>
      <c r="K15" s="103"/>
      <c r="L15" s="97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15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0"/>
    </row>
    <row r="16" spans="1:67" ht="14.25" customHeight="1">
      <c r="A16" s="95"/>
      <c r="B16" s="106"/>
      <c r="C16" s="97"/>
      <c r="D16" s="97"/>
      <c r="E16" s="98"/>
      <c r="F16" s="99"/>
      <c r="G16" s="114">
        <f t="shared" si="5"/>
        <v>46009</v>
      </c>
      <c r="H16" s="90">
        <f t="shared" si="4"/>
        <v>46012</v>
      </c>
      <c r="I16" s="101">
        <v>3</v>
      </c>
      <c r="J16" s="102"/>
      <c r="K16" s="103"/>
      <c r="L16" s="97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15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0"/>
    </row>
    <row r="17" spans="1:67" ht="19.5" customHeight="1">
      <c r="A17" s="95"/>
      <c r="B17" s="106"/>
      <c r="C17" s="97"/>
      <c r="D17" s="97"/>
      <c r="E17" s="98"/>
      <c r="F17" s="99"/>
      <c r="G17" s="114">
        <f t="shared" si="5"/>
        <v>46012</v>
      </c>
      <c r="H17" s="90">
        <f t="shared" si="4"/>
        <v>46012</v>
      </c>
      <c r="I17" s="101"/>
      <c r="J17" s="102"/>
      <c r="K17" s="103"/>
      <c r="L17" s="97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0"/>
    </row>
    <row r="18" spans="1:67" ht="14.25" customHeight="1">
      <c r="A18" s="116"/>
      <c r="B18" s="106"/>
      <c r="C18" s="117"/>
      <c r="D18" s="117"/>
      <c r="E18" s="118"/>
      <c r="F18" s="119"/>
      <c r="G18" s="114">
        <f t="shared" si="5"/>
        <v>46012</v>
      </c>
      <c r="H18" s="90">
        <f t="shared" si="4"/>
        <v>46012</v>
      </c>
      <c r="I18" s="120"/>
      <c r="J18" s="121"/>
      <c r="K18" s="122"/>
      <c r="L18" s="117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4"/>
    </row>
    <row r="19" spans="1:67" ht="14.25" customHeight="1">
      <c r="A19" s="116"/>
      <c r="B19" s="106"/>
      <c r="C19" s="117"/>
      <c r="D19" s="117"/>
      <c r="E19" s="118"/>
      <c r="F19" s="119"/>
      <c r="G19" s="114">
        <f t="shared" si="5"/>
        <v>46012</v>
      </c>
      <c r="H19" s="90">
        <f t="shared" si="4"/>
        <v>46012</v>
      </c>
      <c r="I19" s="120"/>
      <c r="J19" s="121"/>
      <c r="K19" s="122"/>
      <c r="L19" s="117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4"/>
    </row>
    <row r="20" spans="1:67" ht="14.25" customHeight="1">
      <c r="A20" s="116"/>
      <c r="B20" s="106"/>
      <c r="C20" s="117"/>
      <c r="D20" s="117"/>
      <c r="E20" s="118"/>
      <c r="F20" s="119"/>
      <c r="G20" s="114">
        <f t="shared" si="5"/>
        <v>46012</v>
      </c>
      <c r="H20" s="90">
        <f t="shared" si="4"/>
        <v>46012</v>
      </c>
      <c r="I20" s="120"/>
      <c r="J20" s="121"/>
      <c r="K20" s="122"/>
      <c r="L20" s="117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123"/>
      <c r="BM20" s="123"/>
      <c r="BN20" s="123"/>
      <c r="BO20" s="124"/>
    </row>
    <row r="21" spans="1:67" ht="14.25" customHeight="1">
      <c r="A21" s="116"/>
      <c r="B21" s="106"/>
      <c r="C21" s="117"/>
      <c r="D21" s="117"/>
      <c r="E21" s="118"/>
      <c r="F21" s="119"/>
      <c r="G21" s="114">
        <f t="shared" si="5"/>
        <v>46012</v>
      </c>
      <c r="H21" s="90">
        <f t="shared" si="4"/>
        <v>46012</v>
      </c>
      <c r="I21" s="120"/>
      <c r="J21" s="121"/>
      <c r="K21" s="122"/>
      <c r="L21" s="117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4"/>
    </row>
    <row r="22" spans="1:67" ht="14.25" customHeight="1">
      <c r="A22" s="116"/>
      <c r="B22" s="47"/>
      <c r="C22" s="117"/>
      <c r="D22" s="117"/>
      <c r="E22" s="118"/>
      <c r="F22" s="119"/>
      <c r="G22" s="114">
        <f t="shared" si="5"/>
        <v>46012</v>
      </c>
      <c r="H22" s="90">
        <f t="shared" si="4"/>
        <v>46012</v>
      </c>
      <c r="I22" s="120"/>
      <c r="J22" s="121"/>
      <c r="K22" s="122"/>
      <c r="L22" s="117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4"/>
    </row>
    <row r="23" spans="1:67" ht="14.25" customHeight="1">
      <c r="A23" s="85"/>
      <c r="B23" s="86"/>
      <c r="C23" s="87"/>
      <c r="D23" s="87"/>
      <c r="E23" s="88"/>
      <c r="F23" s="89"/>
      <c r="G23" s="90">
        <v>45701</v>
      </c>
      <c r="H23" s="90">
        <f t="shared" si="4"/>
        <v>45711</v>
      </c>
      <c r="I23" s="91">
        <v>10</v>
      </c>
      <c r="J23" s="121"/>
      <c r="K23" s="122"/>
      <c r="L23" s="117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24"/>
    </row>
    <row r="24" spans="1:67" ht="14.25" customHeight="1">
      <c r="A24" s="116"/>
      <c r="B24" s="47"/>
      <c r="C24" s="117"/>
      <c r="D24" s="117"/>
      <c r="E24" s="118"/>
      <c r="F24" s="119"/>
      <c r="G24" s="114"/>
      <c r="H24" s="90"/>
      <c r="I24" s="120"/>
      <c r="J24" s="121"/>
      <c r="K24" s="122"/>
      <c r="L24" s="117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M24" s="123"/>
      <c r="BN24" s="123"/>
      <c r="BO24" s="124"/>
    </row>
    <row r="25" spans="1:67" ht="14.25" customHeight="1">
      <c r="A25" s="116"/>
      <c r="B25" s="47"/>
      <c r="C25" s="117"/>
      <c r="D25" s="117"/>
      <c r="E25" s="118"/>
      <c r="F25" s="119"/>
      <c r="G25" s="114">
        <f>H23</f>
        <v>45711</v>
      </c>
      <c r="H25" s="90">
        <f t="shared" ref="H25:H38" si="6">G25+I25</f>
        <v>45714</v>
      </c>
      <c r="I25" s="120">
        <v>3</v>
      </c>
      <c r="J25" s="121"/>
      <c r="K25" s="122"/>
      <c r="L25" s="117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4"/>
    </row>
    <row r="26" spans="1:67" ht="14.25" customHeight="1">
      <c r="A26" s="116"/>
      <c r="B26" s="47"/>
      <c r="C26" s="117"/>
      <c r="D26" s="117"/>
      <c r="E26" s="118"/>
      <c r="F26" s="119"/>
      <c r="G26" s="114">
        <f t="shared" ref="G26:G39" si="7">H25</f>
        <v>45714</v>
      </c>
      <c r="H26" s="90">
        <f t="shared" si="6"/>
        <v>45717</v>
      </c>
      <c r="I26" s="120">
        <v>3</v>
      </c>
      <c r="J26" s="121"/>
      <c r="K26" s="122"/>
      <c r="L26" s="117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3"/>
      <c r="BF26" s="123"/>
      <c r="BG26" s="123"/>
      <c r="BH26" s="123"/>
      <c r="BI26" s="123"/>
      <c r="BJ26" s="123"/>
      <c r="BK26" s="123"/>
      <c r="BL26" s="123"/>
      <c r="BM26" s="123"/>
      <c r="BN26" s="123"/>
      <c r="BO26" s="124"/>
    </row>
    <row r="27" spans="1:67" ht="14.25" customHeight="1">
      <c r="A27" s="105"/>
      <c r="B27" s="47"/>
      <c r="C27" s="82"/>
      <c r="D27" s="97"/>
      <c r="E27" s="107"/>
      <c r="F27" s="108"/>
      <c r="G27" s="114">
        <f t="shared" si="7"/>
        <v>45717</v>
      </c>
      <c r="H27" s="90">
        <f t="shared" si="6"/>
        <v>45718</v>
      </c>
      <c r="I27" s="110">
        <v>1</v>
      </c>
      <c r="J27" s="111"/>
      <c r="K27" s="112"/>
      <c r="L27" s="82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11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4"/>
    </row>
    <row r="28" spans="1:67" ht="14.25" customHeight="1">
      <c r="A28" s="105"/>
      <c r="B28" s="47"/>
      <c r="C28" s="82"/>
      <c r="D28" s="97"/>
      <c r="E28" s="107"/>
      <c r="F28" s="108"/>
      <c r="G28" s="114">
        <f t="shared" si="7"/>
        <v>45718</v>
      </c>
      <c r="H28" s="90">
        <f t="shared" si="6"/>
        <v>45720</v>
      </c>
      <c r="I28" s="110">
        <v>2</v>
      </c>
      <c r="J28" s="111"/>
      <c r="K28" s="112"/>
      <c r="L28" s="82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11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4"/>
    </row>
    <row r="29" spans="1:67" ht="14.25" customHeight="1">
      <c r="A29" s="105"/>
      <c r="B29" s="47"/>
      <c r="C29" s="82"/>
      <c r="D29" s="97"/>
      <c r="E29" s="107"/>
      <c r="F29" s="108"/>
      <c r="G29" s="114">
        <f t="shared" si="7"/>
        <v>45720</v>
      </c>
      <c r="H29" s="90">
        <f t="shared" si="6"/>
        <v>45721</v>
      </c>
      <c r="I29" s="110">
        <v>1</v>
      </c>
      <c r="J29" s="111"/>
      <c r="K29" s="112"/>
      <c r="L29" s="82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11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4"/>
    </row>
    <row r="30" spans="1:67" ht="14.25" customHeight="1">
      <c r="A30" s="105"/>
      <c r="B30" s="47"/>
      <c r="C30" s="82"/>
      <c r="D30" s="97"/>
      <c r="E30" s="107"/>
      <c r="F30" s="108"/>
      <c r="G30" s="114">
        <f t="shared" si="7"/>
        <v>45721</v>
      </c>
      <c r="H30" s="90">
        <f t="shared" si="6"/>
        <v>45721</v>
      </c>
      <c r="I30" s="110"/>
      <c r="J30" s="111"/>
      <c r="K30" s="112"/>
      <c r="L30" s="82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11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4"/>
    </row>
    <row r="31" spans="1:67" ht="14.25" customHeight="1">
      <c r="A31" s="105"/>
      <c r="B31" s="96"/>
      <c r="C31" s="82"/>
      <c r="D31" s="97"/>
      <c r="E31" s="107"/>
      <c r="F31" s="108"/>
      <c r="G31" s="114">
        <f t="shared" si="7"/>
        <v>45721</v>
      </c>
      <c r="H31" s="90">
        <f t="shared" si="6"/>
        <v>45721</v>
      </c>
      <c r="I31" s="110"/>
      <c r="J31" s="111"/>
      <c r="K31" s="112"/>
      <c r="L31" s="82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11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4"/>
    </row>
    <row r="32" spans="1:67" ht="14.25" customHeight="1">
      <c r="A32" s="105"/>
      <c r="B32" s="47"/>
      <c r="C32" s="97"/>
      <c r="D32" s="97"/>
      <c r="E32" s="107"/>
      <c r="F32" s="108"/>
      <c r="G32" s="114">
        <f t="shared" si="7"/>
        <v>45721</v>
      </c>
      <c r="H32" s="90">
        <f t="shared" si="6"/>
        <v>45726</v>
      </c>
      <c r="I32" s="101">
        <v>5</v>
      </c>
      <c r="J32" s="111"/>
      <c r="K32" s="112"/>
      <c r="L32" s="82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11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4"/>
    </row>
    <row r="33" spans="1:67" ht="27" customHeight="1">
      <c r="A33" s="95"/>
      <c r="B33" s="96"/>
      <c r="C33" s="97"/>
      <c r="D33" s="97"/>
      <c r="E33" s="98"/>
      <c r="F33" s="99"/>
      <c r="G33" s="114">
        <f t="shared" si="7"/>
        <v>45726</v>
      </c>
      <c r="H33" s="90">
        <f t="shared" si="6"/>
        <v>45726</v>
      </c>
      <c r="I33" s="101"/>
      <c r="J33" s="102"/>
      <c r="K33" s="103"/>
      <c r="L33" s="97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0"/>
    </row>
    <row r="34" spans="1:67" ht="14.25" customHeight="1">
      <c r="A34" s="95"/>
      <c r="B34" s="96"/>
      <c r="C34" s="97"/>
      <c r="D34" s="97"/>
      <c r="E34" s="98"/>
      <c r="F34" s="99"/>
      <c r="G34" s="114">
        <f t="shared" si="7"/>
        <v>45726</v>
      </c>
      <c r="H34" s="90">
        <f t="shared" si="6"/>
        <v>45736</v>
      </c>
      <c r="I34" s="101">
        <v>10</v>
      </c>
      <c r="J34" s="102"/>
      <c r="K34" s="103"/>
      <c r="L34" s="97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0"/>
    </row>
    <row r="35" spans="1:67" ht="14.25" customHeight="1">
      <c r="A35" s="116"/>
      <c r="B35" s="47"/>
      <c r="C35" s="82"/>
      <c r="D35" s="117"/>
      <c r="E35" s="118"/>
      <c r="F35" s="119"/>
      <c r="G35" s="114">
        <f t="shared" si="7"/>
        <v>45736</v>
      </c>
      <c r="H35" s="90">
        <f t="shared" si="6"/>
        <v>45736</v>
      </c>
      <c r="I35" s="120"/>
      <c r="J35" s="121"/>
      <c r="K35" s="122"/>
      <c r="L35" s="117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4"/>
    </row>
    <row r="36" spans="1:67" ht="14.25" customHeight="1">
      <c r="A36" s="116"/>
      <c r="C36" s="117"/>
      <c r="D36" s="117"/>
      <c r="E36" s="118"/>
      <c r="F36" s="119"/>
      <c r="G36" s="114">
        <f t="shared" si="7"/>
        <v>45736</v>
      </c>
      <c r="H36" s="90">
        <f t="shared" si="6"/>
        <v>45736</v>
      </c>
      <c r="I36" s="120"/>
      <c r="J36" s="121"/>
      <c r="K36" s="122"/>
      <c r="L36" s="117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4"/>
    </row>
    <row r="37" spans="1:67" ht="14.25" customHeight="1">
      <c r="A37" s="116"/>
      <c r="B37" s="96"/>
      <c r="C37" s="117"/>
      <c r="D37" s="117"/>
      <c r="E37" s="118"/>
      <c r="F37" s="119"/>
      <c r="G37" s="114">
        <f t="shared" si="7"/>
        <v>45736</v>
      </c>
      <c r="H37" s="90">
        <f t="shared" si="6"/>
        <v>45736</v>
      </c>
      <c r="I37" s="120"/>
      <c r="J37" s="121"/>
      <c r="K37" s="122"/>
      <c r="L37" s="117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4"/>
    </row>
    <row r="38" spans="1:67" ht="14.25" customHeight="1">
      <c r="A38" s="116"/>
      <c r="B38" s="47"/>
      <c r="C38" s="117"/>
      <c r="D38" s="117"/>
      <c r="E38" s="118"/>
      <c r="F38" s="119"/>
      <c r="G38" s="114">
        <f t="shared" si="7"/>
        <v>45736</v>
      </c>
      <c r="H38" s="90">
        <f t="shared" si="6"/>
        <v>45736</v>
      </c>
      <c r="I38" s="120"/>
      <c r="J38" s="121"/>
      <c r="K38" s="122"/>
      <c r="L38" s="117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4"/>
    </row>
    <row r="39" spans="1:67" ht="14.25" customHeight="1">
      <c r="A39" s="116"/>
      <c r="B39" s="47"/>
      <c r="C39" s="117"/>
      <c r="D39" s="117"/>
      <c r="E39" s="118"/>
      <c r="F39" s="119"/>
      <c r="G39" s="114">
        <f t="shared" si="7"/>
        <v>45736</v>
      </c>
      <c r="H39" s="125"/>
      <c r="I39" s="120"/>
      <c r="J39" s="121"/>
      <c r="K39" s="122"/>
      <c r="L39" s="117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4"/>
    </row>
    <row r="40" spans="1:67" ht="14.25" customHeight="1">
      <c r="A40" s="116"/>
      <c r="B40" s="47"/>
      <c r="C40" s="117"/>
      <c r="D40" s="117"/>
      <c r="E40" s="118"/>
      <c r="F40" s="119"/>
      <c r="G40" s="125"/>
      <c r="H40" s="125"/>
      <c r="I40" s="120"/>
      <c r="J40" s="121"/>
      <c r="K40" s="122"/>
      <c r="L40" s="117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4"/>
    </row>
    <row r="41" spans="1:67" ht="14.25" customHeight="1">
      <c r="A41" s="116"/>
      <c r="B41" s="47"/>
      <c r="C41" s="117"/>
      <c r="D41" s="117"/>
      <c r="E41" s="118"/>
      <c r="F41" s="119"/>
      <c r="G41" s="125"/>
      <c r="H41" s="125"/>
      <c r="I41" s="120"/>
      <c r="J41" s="121"/>
      <c r="K41" s="122"/>
      <c r="L41" s="117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/>
      <c r="BN41" s="123"/>
      <c r="BO41" s="124"/>
    </row>
    <row r="42" spans="1:67" ht="14.25" customHeight="1">
      <c r="A42" s="116"/>
      <c r="B42" s="47"/>
      <c r="C42" s="117"/>
      <c r="D42" s="117"/>
      <c r="E42" s="118"/>
      <c r="F42" s="119"/>
      <c r="G42" s="125"/>
      <c r="H42" s="125"/>
      <c r="I42" s="120"/>
      <c r="J42" s="121"/>
      <c r="K42" s="122"/>
      <c r="L42" s="117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4"/>
    </row>
    <row r="43" spans="1:67" ht="14.25" customHeight="1">
      <c r="A43" s="116"/>
      <c r="B43" s="47"/>
      <c r="C43" s="117"/>
      <c r="D43" s="117"/>
      <c r="E43" s="118"/>
      <c r="F43" s="119"/>
      <c r="G43" s="125"/>
      <c r="H43" s="125"/>
      <c r="I43" s="120"/>
      <c r="J43" s="121"/>
      <c r="K43" s="122"/>
      <c r="L43" s="117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4"/>
    </row>
    <row r="44" spans="1:67" ht="14.25" customHeight="1">
      <c r="A44" s="116"/>
      <c r="B44" s="47"/>
      <c r="C44" s="117"/>
      <c r="D44" s="117"/>
      <c r="E44" s="118"/>
      <c r="F44" s="119"/>
      <c r="G44" s="125"/>
      <c r="H44" s="125"/>
      <c r="I44" s="120"/>
      <c r="J44" s="121"/>
      <c r="K44" s="122"/>
      <c r="L44" s="117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23"/>
      <c r="BO44" s="124"/>
    </row>
    <row r="45" spans="1:67" ht="14.25" customHeight="1">
      <c r="A45" s="105"/>
      <c r="B45" s="47"/>
      <c r="C45" s="82"/>
      <c r="D45" s="82"/>
      <c r="E45" s="107"/>
      <c r="F45" s="108"/>
      <c r="G45" s="125"/>
      <c r="H45" s="125"/>
      <c r="I45" s="110"/>
      <c r="J45" s="111"/>
      <c r="K45" s="112"/>
      <c r="L45" s="82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4"/>
    </row>
    <row r="46" spans="1:67" ht="14.25" customHeight="1">
      <c r="A46" s="95"/>
      <c r="B46" s="96"/>
      <c r="C46" s="97"/>
      <c r="D46" s="97"/>
      <c r="E46" s="98"/>
      <c r="F46" s="99"/>
      <c r="G46" s="109"/>
      <c r="H46" s="125"/>
      <c r="I46" s="101"/>
      <c r="J46" s="102"/>
      <c r="K46" s="103"/>
      <c r="L46" s="97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0"/>
    </row>
    <row r="47" spans="1:67" ht="14.25" customHeight="1">
      <c r="A47" s="105"/>
      <c r="B47" s="47"/>
      <c r="C47" s="82"/>
      <c r="D47" s="82"/>
      <c r="E47" s="107"/>
      <c r="F47" s="108"/>
      <c r="G47" s="114"/>
      <c r="H47" s="125"/>
      <c r="I47" s="110"/>
      <c r="J47" s="111"/>
      <c r="K47" s="112"/>
      <c r="L47" s="82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4"/>
    </row>
    <row r="48" spans="1:67" ht="14.25" customHeight="1">
      <c r="A48" s="105"/>
      <c r="B48" s="47"/>
      <c r="C48" s="82"/>
      <c r="D48" s="82"/>
      <c r="E48" s="107"/>
      <c r="F48" s="108"/>
      <c r="G48" s="114"/>
      <c r="H48" s="125"/>
      <c r="I48" s="110"/>
      <c r="J48" s="111"/>
      <c r="K48" s="112"/>
      <c r="L48" s="82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4"/>
    </row>
    <row r="49" spans="1:67" ht="14.25" customHeight="1">
      <c r="A49" s="105"/>
      <c r="B49" s="47"/>
      <c r="C49" s="82"/>
      <c r="D49" s="82"/>
      <c r="E49" s="107"/>
      <c r="F49" s="108"/>
      <c r="G49" s="114"/>
      <c r="H49" s="125"/>
      <c r="I49" s="110"/>
      <c r="J49" s="111"/>
      <c r="K49" s="112"/>
      <c r="L49" s="82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4"/>
    </row>
    <row r="50" spans="1:67" ht="14.25" customHeight="1">
      <c r="A50" s="105"/>
      <c r="B50" s="47"/>
      <c r="C50" s="82"/>
      <c r="D50" s="82"/>
      <c r="E50" s="107"/>
      <c r="F50" s="108"/>
      <c r="G50" s="114"/>
      <c r="H50" s="125"/>
      <c r="I50" s="110"/>
      <c r="J50" s="111"/>
      <c r="K50" s="112"/>
      <c r="L50" s="82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4"/>
    </row>
    <row r="51" spans="1:67" ht="14.25" customHeight="1">
      <c r="A51" s="105"/>
      <c r="B51" s="47"/>
      <c r="C51" s="97"/>
      <c r="D51" s="97"/>
      <c r="E51" s="107"/>
      <c r="F51" s="108"/>
      <c r="G51" s="114"/>
      <c r="H51" s="125"/>
      <c r="I51" s="110"/>
      <c r="J51" s="111"/>
      <c r="K51" s="112"/>
      <c r="L51" s="82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11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4"/>
    </row>
    <row r="52" spans="1:67" ht="14.25" customHeight="1">
      <c r="A52" s="85"/>
      <c r="B52" s="86"/>
      <c r="C52" s="87"/>
      <c r="D52" s="126"/>
      <c r="E52" s="88"/>
      <c r="F52" s="89"/>
      <c r="G52" s="90"/>
      <c r="H52" s="90"/>
      <c r="I52" s="91"/>
      <c r="J52" s="111"/>
      <c r="K52" s="112"/>
      <c r="L52" s="82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4"/>
    </row>
    <row r="53" spans="1:67" ht="14.25" customHeight="1">
      <c r="A53" s="127"/>
      <c r="B53" s="128"/>
      <c r="C53" s="129"/>
      <c r="D53" s="129"/>
      <c r="E53" s="130"/>
      <c r="F53" s="131"/>
      <c r="G53" s="132"/>
      <c r="H53" s="132"/>
      <c r="I53" s="133"/>
      <c r="J53" s="111"/>
      <c r="K53" s="112"/>
      <c r="L53" s="82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4"/>
    </row>
    <row r="54" spans="1:67" ht="14.25" customHeight="1">
      <c r="A54" s="105"/>
      <c r="B54" s="96"/>
      <c r="C54" s="82"/>
      <c r="D54" s="97"/>
      <c r="E54" s="134"/>
      <c r="F54" s="108"/>
      <c r="G54" s="109"/>
      <c r="H54" s="109"/>
      <c r="I54" s="101"/>
      <c r="J54" s="111"/>
      <c r="K54" s="112"/>
      <c r="L54" s="82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11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4"/>
    </row>
    <row r="55" spans="1:67" ht="14.25" customHeight="1">
      <c r="A55" s="105"/>
      <c r="B55" s="96"/>
      <c r="C55" s="82"/>
      <c r="D55" s="97"/>
      <c r="E55" s="134"/>
      <c r="F55" s="108"/>
      <c r="G55" s="109"/>
      <c r="H55" s="109"/>
      <c r="I55" s="101"/>
      <c r="J55" s="111"/>
      <c r="K55" s="112"/>
      <c r="L55" s="82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11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4"/>
    </row>
    <row r="56" spans="1:67" ht="14.25" customHeight="1">
      <c r="A56" s="105"/>
      <c r="B56" s="96"/>
      <c r="C56" s="82"/>
      <c r="D56" s="97"/>
      <c r="E56" s="134"/>
      <c r="F56" s="108"/>
      <c r="G56" s="109"/>
      <c r="H56" s="109"/>
      <c r="I56" s="101"/>
      <c r="J56" s="111"/>
      <c r="K56" s="112"/>
      <c r="L56" s="82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11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4"/>
    </row>
    <row r="57" spans="1:67" ht="14.25" customHeight="1">
      <c r="A57" s="105"/>
      <c r="B57" s="96"/>
      <c r="C57" s="82"/>
      <c r="D57" s="97"/>
      <c r="E57" s="134"/>
      <c r="F57" s="108"/>
      <c r="G57" s="109"/>
      <c r="H57" s="109"/>
      <c r="I57" s="101"/>
      <c r="J57" s="111"/>
      <c r="K57" s="112"/>
      <c r="L57" s="82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11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4"/>
    </row>
    <row r="58" spans="1:67" ht="14.25" customHeight="1">
      <c r="A58" s="105"/>
      <c r="B58" s="96"/>
      <c r="C58" s="82"/>
      <c r="D58" s="97"/>
      <c r="E58" s="134"/>
      <c r="F58" s="108"/>
      <c r="G58" s="114"/>
      <c r="H58" s="114"/>
      <c r="I58" s="110"/>
      <c r="J58" s="111"/>
      <c r="K58" s="112"/>
      <c r="L58" s="82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4"/>
    </row>
    <row r="59" spans="1:67" ht="14.25" customHeight="1">
      <c r="A59" s="105"/>
      <c r="B59" s="96"/>
      <c r="C59" s="97"/>
      <c r="D59" s="97"/>
      <c r="E59" s="107"/>
      <c r="F59" s="108"/>
      <c r="G59" s="114"/>
      <c r="H59" s="114"/>
      <c r="I59" s="110"/>
      <c r="J59" s="111"/>
      <c r="K59" s="112"/>
      <c r="L59" s="82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4"/>
    </row>
    <row r="60" spans="1:67" ht="14.25" customHeight="1">
      <c r="A60" s="105"/>
      <c r="B60" s="96"/>
      <c r="C60" s="97"/>
      <c r="D60" s="97"/>
      <c r="E60" s="107"/>
      <c r="F60" s="108"/>
      <c r="G60" s="114"/>
      <c r="H60" s="114"/>
      <c r="I60" s="110"/>
      <c r="J60" s="111"/>
      <c r="K60" s="112"/>
      <c r="L60" s="82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4"/>
    </row>
    <row r="61" spans="1:67" ht="14.25" customHeight="1">
      <c r="A61" s="105"/>
      <c r="B61" s="47"/>
      <c r="C61" s="82"/>
      <c r="D61" s="82"/>
      <c r="E61" s="107"/>
      <c r="F61" s="108"/>
      <c r="G61" s="114"/>
      <c r="H61" s="114"/>
      <c r="I61" s="110"/>
      <c r="J61" s="111"/>
      <c r="K61" s="112"/>
      <c r="L61" s="82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4"/>
    </row>
    <row r="62" spans="1:67" ht="14.25" customHeight="1">
      <c r="A62" s="105"/>
      <c r="B62" s="47"/>
      <c r="C62" s="82"/>
      <c r="D62" s="82"/>
      <c r="E62" s="135"/>
      <c r="F62" s="108"/>
      <c r="G62" s="109"/>
      <c r="H62" s="109"/>
      <c r="I62" s="110"/>
      <c r="J62" s="111"/>
      <c r="K62" s="112"/>
      <c r="L62" s="82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4"/>
    </row>
    <row r="63" spans="1:67" ht="14.25" customHeight="1">
      <c r="A63" s="105"/>
      <c r="B63" s="47"/>
      <c r="C63" s="82"/>
      <c r="D63" s="82"/>
      <c r="E63" s="107"/>
      <c r="F63" s="108"/>
      <c r="G63" s="114"/>
      <c r="H63" s="109"/>
      <c r="I63" s="110"/>
      <c r="J63" s="111"/>
      <c r="K63" s="112"/>
      <c r="L63" s="82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4"/>
    </row>
    <row r="64" spans="1:67" ht="14.25" customHeight="1">
      <c r="A64" s="105"/>
      <c r="B64" s="96"/>
      <c r="C64" s="97"/>
      <c r="D64" s="97"/>
      <c r="E64" s="107"/>
      <c r="F64" s="108"/>
      <c r="G64" s="114"/>
      <c r="H64" s="109"/>
      <c r="I64" s="110"/>
      <c r="J64" s="111"/>
      <c r="K64" s="112"/>
      <c r="L64" s="82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4"/>
    </row>
    <row r="65" spans="1:67" ht="14.25" customHeight="1">
      <c r="A65" s="136"/>
      <c r="B65" s="137"/>
      <c r="C65" s="138"/>
      <c r="D65" s="138"/>
      <c r="E65" s="139"/>
      <c r="F65" s="140"/>
      <c r="G65" s="141"/>
      <c r="H65" s="141"/>
      <c r="I65" s="142"/>
      <c r="J65" s="111"/>
      <c r="K65" s="112"/>
      <c r="L65" s="82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4"/>
    </row>
    <row r="66" spans="1:67" ht="14.25" customHeight="1">
      <c r="A66" s="127"/>
      <c r="B66" s="128"/>
      <c r="C66" s="129"/>
      <c r="D66" s="129"/>
      <c r="E66" s="130"/>
      <c r="F66" s="131"/>
      <c r="G66" s="132"/>
      <c r="H66" s="132"/>
      <c r="I66" s="133"/>
      <c r="J66" s="111"/>
      <c r="K66" s="112"/>
      <c r="L66" s="82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4"/>
    </row>
    <row r="67" spans="1:67" ht="14.25" customHeight="1">
      <c r="A67" s="105"/>
      <c r="B67" s="96"/>
      <c r="C67" s="82"/>
      <c r="D67" s="97"/>
      <c r="E67" s="134"/>
      <c r="F67" s="108"/>
      <c r="G67" s="109"/>
      <c r="H67" s="109"/>
      <c r="I67" s="101"/>
      <c r="J67" s="111"/>
      <c r="K67" s="112"/>
      <c r="L67" s="82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11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4"/>
    </row>
    <row r="68" spans="1:67" ht="14.25" customHeight="1">
      <c r="A68" s="105"/>
      <c r="B68" s="96"/>
      <c r="C68" s="82"/>
      <c r="D68" s="97"/>
      <c r="E68" s="134"/>
      <c r="F68" s="108"/>
      <c r="G68" s="109"/>
      <c r="H68" s="109"/>
      <c r="I68" s="101"/>
      <c r="J68" s="111"/>
      <c r="K68" s="112"/>
      <c r="L68" s="82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11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4"/>
    </row>
    <row r="69" spans="1:67" ht="14.25" customHeight="1">
      <c r="A69" s="136"/>
      <c r="B69" s="137"/>
      <c r="C69" s="138"/>
      <c r="D69" s="138"/>
      <c r="E69" s="139"/>
      <c r="F69" s="140"/>
      <c r="G69" s="141"/>
      <c r="H69" s="141"/>
      <c r="I69" s="142"/>
      <c r="J69" s="111"/>
      <c r="K69" s="112"/>
      <c r="L69" s="82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11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4"/>
    </row>
    <row r="70" spans="1:67" ht="14.25" customHeight="1">
      <c r="A70" s="85"/>
      <c r="B70" s="86"/>
      <c r="C70" s="87"/>
      <c r="D70" s="126"/>
      <c r="E70" s="88"/>
      <c r="F70" s="89"/>
      <c r="G70" s="90"/>
      <c r="H70" s="90"/>
      <c r="I70" s="91"/>
      <c r="J70" s="80"/>
      <c r="K70" s="81"/>
      <c r="L70" s="82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4"/>
    </row>
    <row r="71" spans="1:67" ht="14.25" customHeight="1">
      <c r="A71" s="143"/>
      <c r="B71" s="96"/>
      <c r="C71" s="97"/>
      <c r="D71" s="97"/>
      <c r="E71" s="144"/>
      <c r="F71" s="145"/>
      <c r="G71" s="114"/>
      <c r="H71" s="114"/>
      <c r="I71" s="110"/>
      <c r="J71" s="80"/>
      <c r="K71" s="81"/>
      <c r="L71" s="82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4"/>
    </row>
    <row r="72" spans="1:67" ht="14.25" customHeight="1">
      <c r="A72" s="143"/>
      <c r="B72" s="47"/>
      <c r="C72" s="82"/>
      <c r="D72" s="82"/>
      <c r="E72" s="144"/>
      <c r="F72" s="145"/>
      <c r="G72" s="114"/>
      <c r="H72" s="114"/>
      <c r="I72" s="110"/>
      <c r="J72" s="80"/>
      <c r="K72" s="81"/>
      <c r="L72" s="82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4"/>
    </row>
    <row r="73" spans="1:67" ht="14.25" customHeight="1">
      <c r="A73" s="143"/>
      <c r="B73" s="47"/>
      <c r="C73" s="82"/>
      <c r="D73" s="82"/>
      <c r="E73" s="144"/>
      <c r="F73" s="145"/>
      <c r="G73" s="114"/>
      <c r="H73" s="114"/>
      <c r="I73" s="110"/>
      <c r="J73" s="80"/>
      <c r="K73" s="81"/>
      <c r="L73" s="82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4"/>
    </row>
    <row r="74" spans="1:67" ht="14.25" customHeight="1">
      <c r="A74" s="143"/>
      <c r="B74" s="47"/>
      <c r="C74" s="82"/>
      <c r="D74" s="82"/>
      <c r="E74" s="144"/>
      <c r="F74" s="145"/>
      <c r="G74" s="114"/>
      <c r="H74" s="114"/>
      <c r="I74" s="110"/>
      <c r="J74" s="80"/>
      <c r="K74" s="81"/>
      <c r="L74" s="82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4"/>
    </row>
    <row r="75" spans="1:67" ht="14.25" customHeight="1">
      <c r="A75" s="143"/>
      <c r="B75" s="47"/>
      <c r="C75" s="82"/>
      <c r="D75" s="82"/>
      <c r="E75" s="144"/>
      <c r="F75" s="145"/>
      <c r="G75" s="114"/>
      <c r="H75" s="114"/>
      <c r="I75" s="110"/>
      <c r="J75" s="80"/>
      <c r="K75" s="81"/>
      <c r="L75" s="82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4"/>
    </row>
    <row r="76" spans="1:67" ht="14.25" customHeight="1">
      <c r="A76" s="143"/>
      <c r="B76" s="96"/>
      <c r="C76" s="82"/>
      <c r="D76" s="82"/>
      <c r="E76" s="144"/>
      <c r="F76" s="145"/>
      <c r="G76" s="114"/>
      <c r="H76" s="114"/>
      <c r="I76" s="110"/>
      <c r="J76" s="80"/>
      <c r="K76" s="81"/>
      <c r="L76" s="82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4"/>
    </row>
    <row r="77" spans="1:67" ht="14.25" customHeight="1">
      <c r="A77" s="143"/>
      <c r="B77" s="96"/>
      <c r="C77" s="82"/>
      <c r="D77" s="82"/>
      <c r="E77" s="144"/>
      <c r="F77" s="145"/>
      <c r="G77" s="114"/>
      <c r="H77" s="114"/>
      <c r="I77" s="110"/>
      <c r="J77" s="80"/>
      <c r="K77" s="81"/>
      <c r="L77" s="82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4"/>
    </row>
    <row r="78" spans="1:67" ht="14.25" customHeight="1">
      <c r="A78" s="143"/>
      <c r="B78" s="96"/>
      <c r="C78" s="82"/>
      <c r="D78" s="82"/>
      <c r="E78" s="144"/>
      <c r="F78" s="145"/>
      <c r="G78" s="114"/>
      <c r="H78" s="114"/>
      <c r="I78" s="110"/>
      <c r="J78" s="80"/>
      <c r="K78" s="81"/>
      <c r="L78" s="82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4"/>
    </row>
    <row r="79" spans="1:67" ht="14.25" customHeight="1">
      <c r="A79" s="143"/>
      <c r="B79" s="96"/>
      <c r="C79" s="82"/>
      <c r="D79" s="82"/>
      <c r="E79" s="144"/>
      <c r="F79" s="145"/>
      <c r="G79" s="114"/>
      <c r="H79" s="114"/>
      <c r="I79" s="110"/>
      <c r="J79" s="80"/>
      <c r="K79" s="81"/>
      <c r="L79" s="82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4"/>
    </row>
    <row r="80" spans="1:67" ht="14.25" customHeight="1">
      <c r="A80" s="143"/>
      <c r="B80" s="96"/>
      <c r="C80" s="82"/>
      <c r="D80" s="82"/>
      <c r="E80" s="144"/>
      <c r="F80" s="145"/>
      <c r="G80" s="114"/>
      <c r="H80" s="114"/>
      <c r="I80" s="110"/>
      <c r="J80" s="80"/>
      <c r="K80" s="81"/>
      <c r="L80" s="82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4"/>
    </row>
    <row r="81" spans="1:67" ht="14.25" customHeight="1">
      <c r="A81" s="85"/>
      <c r="B81" s="86"/>
      <c r="C81" s="87"/>
      <c r="D81" s="126"/>
      <c r="E81" s="88"/>
      <c r="F81" s="89"/>
      <c r="G81" s="90"/>
      <c r="H81" s="90"/>
      <c r="I81" s="91"/>
      <c r="J81" s="80"/>
      <c r="K81" s="81"/>
      <c r="L81" s="82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4"/>
    </row>
    <row r="82" spans="1:67" ht="14.25" customHeight="1">
      <c r="A82" s="143"/>
      <c r="B82" s="96"/>
      <c r="C82" s="97"/>
      <c r="D82" s="97"/>
      <c r="E82" s="144"/>
      <c r="F82" s="145"/>
      <c r="G82" s="114"/>
      <c r="H82" s="114"/>
      <c r="I82" s="146"/>
      <c r="J82" s="80"/>
      <c r="K82" s="81"/>
      <c r="L82" s="82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4"/>
    </row>
    <row r="83" spans="1:67" ht="14.25" customHeight="1">
      <c r="A83" s="143"/>
      <c r="B83" s="96"/>
      <c r="C83" s="97"/>
      <c r="D83" s="97"/>
      <c r="E83" s="144"/>
      <c r="F83" s="145"/>
      <c r="G83" s="114"/>
      <c r="H83" s="114"/>
      <c r="I83" s="146"/>
      <c r="J83" s="80"/>
      <c r="K83" s="81"/>
      <c r="L83" s="82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4"/>
    </row>
    <row r="84" spans="1:67" ht="18.75" customHeight="1">
      <c r="A84" s="147"/>
      <c r="B84" s="148"/>
      <c r="C84" s="149"/>
      <c r="D84" s="150"/>
      <c r="E84" s="151"/>
      <c r="F84" s="152"/>
      <c r="G84" s="141"/>
      <c r="H84" s="153"/>
      <c r="I84" s="154"/>
      <c r="J84" s="155"/>
      <c r="K84" s="156"/>
      <c r="L84" s="157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158"/>
      <c r="BI84" s="158"/>
      <c r="BJ84" s="158"/>
      <c r="BK84" s="158"/>
      <c r="BL84" s="158"/>
      <c r="BM84" s="158"/>
      <c r="BN84" s="158"/>
      <c r="BO84" s="100"/>
    </row>
    <row r="85" spans="1:67" ht="14.25" customHeight="1">
      <c r="A85" s="36"/>
      <c r="B85" s="36"/>
      <c r="C85" s="35"/>
      <c r="D85" s="35"/>
      <c r="E85" s="53"/>
      <c r="F85" s="36"/>
      <c r="G85" s="35"/>
      <c r="H85" s="36"/>
      <c r="I85" s="36"/>
      <c r="J85" s="50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</row>
    <row r="86" spans="1:67" ht="14.25" customHeight="1">
      <c r="A86" s="159"/>
      <c r="B86" s="36"/>
      <c r="C86" s="35"/>
      <c r="D86" s="35"/>
      <c r="E86" s="53"/>
      <c r="F86" s="36"/>
      <c r="G86" s="35"/>
      <c r="H86" s="36"/>
      <c r="I86" s="36"/>
      <c r="J86" s="50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</row>
    <row r="87" spans="1:67" ht="14.25" customHeight="1">
      <c r="A87" s="160"/>
      <c r="B87" s="36"/>
      <c r="C87" s="35"/>
      <c r="D87" s="35"/>
      <c r="E87" s="53"/>
      <c r="F87" s="36"/>
      <c r="G87" s="35"/>
      <c r="H87" s="36"/>
      <c r="I87" s="36"/>
      <c r="J87" s="50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</row>
    <row r="88" spans="1:67" ht="14.25" customHeight="1">
      <c r="A88" s="36"/>
      <c r="B88" s="36"/>
      <c r="C88" s="35"/>
      <c r="D88" s="35"/>
      <c r="E88" s="53"/>
      <c r="F88" s="36"/>
      <c r="G88" s="35"/>
      <c r="H88" s="36"/>
      <c r="I88" s="36"/>
      <c r="J88" s="50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</row>
    <row r="89" spans="1:67" ht="14.25" customHeight="1">
      <c r="A89" s="36"/>
      <c r="B89" s="36"/>
      <c r="C89" s="35"/>
      <c r="D89" s="35"/>
      <c r="E89" s="53"/>
      <c r="F89" s="36"/>
      <c r="G89" s="35"/>
      <c r="H89" s="36"/>
      <c r="I89" s="36"/>
      <c r="J89" s="50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</row>
    <row r="90" spans="1:67" ht="14.25" customHeight="1">
      <c r="A90" s="36"/>
      <c r="B90" s="36"/>
      <c r="C90" s="35"/>
      <c r="D90" s="35"/>
      <c r="E90" s="53"/>
      <c r="F90" s="36"/>
      <c r="G90" s="35"/>
      <c r="H90" s="36"/>
      <c r="I90" s="36"/>
      <c r="J90" s="50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</row>
    <row r="91" spans="1:67" ht="14.25" customHeight="1">
      <c r="A91" s="36"/>
      <c r="B91" s="36"/>
      <c r="C91" s="35"/>
      <c r="D91" s="35"/>
      <c r="E91" s="53"/>
      <c r="F91" s="36"/>
      <c r="G91" s="35"/>
      <c r="H91" s="36"/>
      <c r="I91" s="36"/>
      <c r="J91" s="50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</row>
    <row r="92" spans="1:67" ht="14.25" customHeight="1">
      <c r="A92" s="36"/>
      <c r="B92" s="36"/>
      <c r="C92" s="35"/>
      <c r="D92" s="35"/>
      <c r="E92" s="53"/>
      <c r="F92" s="36"/>
      <c r="G92" s="35"/>
      <c r="H92" s="36"/>
      <c r="I92" s="36"/>
      <c r="J92" s="50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</row>
    <row r="93" spans="1:67" ht="14.25" customHeight="1">
      <c r="A93" s="36"/>
      <c r="B93" s="36"/>
      <c r="C93" s="35"/>
      <c r="D93" s="35"/>
      <c r="E93" s="53"/>
      <c r="F93" s="36"/>
      <c r="G93" s="35"/>
      <c r="H93" s="36"/>
      <c r="I93" s="36"/>
      <c r="J93" s="50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</row>
    <row r="94" spans="1:67" ht="14.25" customHeight="1">
      <c r="A94" s="36"/>
      <c r="B94" s="36"/>
      <c r="C94" s="35"/>
      <c r="D94" s="35"/>
      <c r="E94" s="53"/>
      <c r="F94" s="36"/>
      <c r="G94" s="35"/>
      <c r="H94" s="36"/>
      <c r="I94" s="36"/>
      <c r="J94" s="50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</row>
    <row r="95" spans="1:67" ht="14.25" customHeight="1">
      <c r="A95" s="36"/>
      <c r="B95" s="36"/>
      <c r="C95" s="35"/>
      <c r="D95" s="35"/>
      <c r="E95" s="53"/>
      <c r="F95" s="36"/>
      <c r="G95" s="35"/>
      <c r="H95" s="36"/>
      <c r="I95" s="36"/>
      <c r="J95" s="50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</row>
    <row r="96" spans="1:67" ht="14.25" customHeight="1">
      <c r="A96" s="36"/>
      <c r="B96" s="36"/>
      <c r="C96" s="35"/>
      <c r="D96" s="35"/>
      <c r="E96" s="53"/>
      <c r="F96" s="36"/>
      <c r="G96" s="35"/>
      <c r="H96" s="36"/>
      <c r="I96" s="36"/>
      <c r="J96" s="50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</row>
    <row r="97" spans="1:67" ht="14.25" customHeight="1">
      <c r="A97" s="36"/>
      <c r="B97" s="36"/>
      <c r="C97" s="35"/>
      <c r="D97" s="35"/>
      <c r="E97" s="53"/>
      <c r="F97" s="36"/>
      <c r="G97" s="35"/>
      <c r="H97" s="36"/>
      <c r="I97" s="36"/>
      <c r="J97" s="50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</row>
    <row r="98" spans="1:67" ht="14.25" customHeight="1">
      <c r="A98" s="36"/>
      <c r="B98" s="36"/>
      <c r="C98" s="35"/>
      <c r="D98" s="35"/>
      <c r="E98" s="53"/>
      <c r="F98" s="36"/>
      <c r="G98" s="35"/>
      <c r="H98" s="36"/>
      <c r="I98" s="36"/>
      <c r="J98" s="50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</row>
    <row r="99" spans="1:67" ht="14.25" customHeight="1">
      <c r="A99" s="36"/>
      <c r="B99" s="36"/>
      <c r="C99" s="35"/>
      <c r="D99" s="35"/>
      <c r="E99" s="53"/>
      <c r="F99" s="36"/>
      <c r="G99" s="35"/>
      <c r="H99" s="36"/>
      <c r="I99" s="36"/>
      <c r="J99" s="50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</row>
    <row r="100" spans="1:67" ht="14.25" customHeight="1">
      <c r="A100" s="36"/>
      <c r="B100" s="36"/>
      <c r="C100" s="35"/>
      <c r="D100" s="35"/>
      <c r="E100" s="53"/>
      <c r="F100" s="36"/>
      <c r="G100" s="35"/>
      <c r="H100" s="36"/>
      <c r="I100" s="36"/>
      <c r="J100" s="50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</row>
    <row r="101" spans="1:67" ht="14.25" customHeight="1">
      <c r="A101" s="36"/>
      <c r="B101" s="36"/>
      <c r="C101" s="35"/>
      <c r="D101" s="35"/>
      <c r="E101" s="53"/>
      <c r="F101" s="36"/>
      <c r="G101" s="35"/>
      <c r="H101" s="36"/>
      <c r="I101" s="36"/>
      <c r="J101" s="50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</row>
    <row r="102" spans="1:67" ht="14.25" customHeight="1">
      <c r="A102" s="36"/>
      <c r="B102" s="36"/>
      <c r="C102" s="35"/>
      <c r="D102" s="35"/>
      <c r="E102" s="53"/>
      <c r="F102" s="36"/>
      <c r="G102" s="35"/>
      <c r="H102" s="36"/>
      <c r="I102" s="36"/>
      <c r="J102" s="50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</row>
    <row r="103" spans="1:67" ht="14.25" customHeight="1">
      <c r="A103" s="36"/>
      <c r="B103" s="36"/>
      <c r="C103" s="35"/>
      <c r="D103" s="35"/>
      <c r="E103" s="53"/>
      <c r="F103" s="36"/>
      <c r="G103" s="35"/>
      <c r="H103" s="36"/>
      <c r="I103" s="36"/>
      <c r="J103" s="50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</row>
    <row r="104" spans="1:67" ht="14.25" customHeight="1">
      <c r="A104" s="36"/>
      <c r="B104" s="36"/>
      <c r="C104" s="35"/>
      <c r="D104" s="35"/>
      <c r="E104" s="53"/>
      <c r="F104" s="36"/>
      <c r="G104" s="35"/>
      <c r="H104" s="36"/>
      <c r="I104" s="36"/>
      <c r="J104" s="50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</row>
    <row r="105" spans="1:67" ht="14.25" customHeight="1">
      <c r="A105" s="36"/>
      <c r="B105" s="36"/>
      <c r="C105" s="35"/>
      <c r="D105" s="35"/>
      <c r="E105" s="53"/>
      <c r="F105" s="36"/>
      <c r="G105" s="35"/>
      <c r="H105" s="36"/>
      <c r="I105" s="36"/>
      <c r="J105" s="50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</row>
    <row r="106" spans="1:67" ht="14.25" customHeight="1">
      <c r="A106" s="36"/>
      <c r="B106" s="36"/>
      <c r="C106" s="35"/>
      <c r="D106" s="35"/>
      <c r="E106" s="53"/>
      <c r="F106" s="36"/>
      <c r="G106" s="35"/>
      <c r="H106" s="36"/>
      <c r="I106" s="36"/>
      <c r="J106" s="50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</row>
    <row r="107" spans="1:67" ht="14.25" customHeight="1">
      <c r="A107" s="36"/>
      <c r="B107" s="36"/>
      <c r="C107" s="35"/>
      <c r="D107" s="35"/>
      <c r="E107" s="53"/>
      <c r="F107" s="36"/>
      <c r="G107" s="35"/>
      <c r="H107" s="36"/>
      <c r="I107" s="36"/>
      <c r="J107" s="50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</row>
    <row r="108" spans="1:67" ht="14.25" customHeight="1">
      <c r="A108" s="36"/>
      <c r="B108" s="36"/>
      <c r="C108" s="35"/>
      <c r="D108" s="35"/>
      <c r="E108" s="53"/>
      <c r="F108" s="36"/>
      <c r="G108" s="35"/>
      <c r="H108" s="36"/>
      <c r="I108" s="36"/>
      <c r="J108" s="50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</row>
    <row r="109" spans="1:67" ht="14.25" customHeight="1">
      <c r="A109" s="36"/>
      <c r="B109" s="36"/>
      <c r="C109" s="35"/>
      <c r="D109" s="35"/>
      <c r="E109" s="53"/>
      <c r="F109" s="36"/>
      <c r="G109" s="35"/>
      <c r="H109" s="36"/>
      <c r="I109" s="36"/>
      <c r="J109" s="50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</row>
    <row r="110" spans="1:67" ht="14.25" customHeight="1">
      <c r="A110" s="36"/>
      <c r="B110" s="36"/>
      <c r="C110" s="35"/>
      <c r="D110" s="35"/>
      <c r="E110" s="53"/>
      <c r="F110" s="36"/>
      <c r="G110" s="35"/>
      <c r="H110" s="36"/>
      <c r="I110" s="36"/>
      <c r="J110" s="50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</row>
    <row r="111" spans="1:67" ht="14.25" customHeight="1">
      <c r="A111" s="36"/>
      <c r="B111" s="36"/>
      <c r="C111" s="35"/>
      <c r="D111" s="35"/>
      <c r="E111" s="53"/>
      <c r="F111" s="36"/>
      <c r="G111" s="35"/>
      <c r="H111" s="36"/>
      <c r="I111" s="36"/>
      <c r="J111" s="50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</row>
    <row r="112" spans="1:67" ht="14.25" customHeight="1">
      <c r="A112" s="36"/>
      <c r="B112" s="36"/>
      <c r="C112" s="35"/>
      <c r="D112" s="35"/>
      <c r="E112" s="53"/>
      <c r="F112" s="36"/>
      <c r="G112" s="35"/>
      <c r="H112" s="36"/>
      <c r="I112" s="36"/>
      <c r="J112" s="50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</row>
    <row r="113" spans="1:67" ht="14.25" customHeight="1">
      <c r="A113" s="36"/>
      <c r="B113" s="36"/>
      <c r="C113" s="35"/>
      <c r="D113" s="35"/>
      <c r="E113" s="53"/>
      <c r="F113" s="36"/>
      <c r="G113" s="35"/>
      <c r="H113" s="36"/>
      <c r="I113" s="36"/>
      <c r="J113" s="50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</row>
    <row r="114" spans="1:67" ht="14.25" customHeight="1">
      <c r="A114" s="36"/>
      <c r="B114" s="36"/>
      <c r="C114" s="35"/>
      <c r="D114" s="35"/>
      <c r="E114" s="53"/>
      <c r="F114" s="36"/>
      <c r="G114" s="35"/>
      <c r="H114" s="36"/>
      <c r="I114" s="36"/>
      <c r="J114" s="50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</row>
    <row r="115" spans="1:67" ht="14.25" customHeight="1">
      <c r="A115" s="36"/>
      <c r="B115" s="36"/>
      <c r="C115" s="35"/>
      <c r="D115" s="35"/>
      <c r="E115" s="53"/>
      <c r="F115" s="36"/>
      <c r="G115" s="35"/>
      <c r="H115" s="36"/>
      <c r="I115" s="36"/>
      <c r="J115" s="50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</row>
    <row r="116" spans="1:67" ht="14.25" customHeight="1">
      <c r="A116" s="36"/>
      <c r="B116" s="36"/>
      <c r="C116" s="35"/>
      <c r="D116" s="35"/>
      <c r="E116" s="53"/>
      <c r="F116" s="36"/>
      <c r="G116" s="35"/>
      <c r="H116" s="36"/>
      <c r="I116" s="36"/>
      <c r="J116" s="50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</row>
    <row r="117" spans="1:67" ht="14.25" customHeight="1">
      <c r="A117" s="36"/>
      <c r="B117" s="36"/>
      <c r="C117" s="35"/>
      <c r="D117" s="35"/>
      <c r="E117" s="53"/>
      <c r="F117" s="36"/>
      <c r="G117" s="35"/>
      <c r="H117" s="36"/>
      <c r="I117" s="36"/>
      <c r="J117" s="50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</row>
    <row r="118" spans="1:67" ht="14.25" customHeight="1">
      <c r="A118" s="36"/>
      <c r="B118" s="36"/>
      <c r="C118" s="35"/>
      <c r="D118" s="35"/>
      <c r="E118" s="53"/>
      <c r="F118" s="36"/>
      <c r="G118" s="35"/>
      <c r="H118" s="36"/>
      <c r="I118" s="36"/>
      <c r="J118" s="50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</row>
    <row r="119" spans="1:67" ht="14.25" customHeight="1">
      <c r="A119" s="36"/>
      <c r="B119" s="36"/>
      <c r="C119" s="35"/>
      <c r="D119" s="35"/>
      <c r="E119" s="53"/>
      <c r="F119" s="36"/>
      <c r="G119" s="35"/>
      <c r="H119" s="36"/>
      <c r="I119" s="36"/>
      <c r="J119" s="50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</row>
    <row r="120" spans="1:67" ht="14.25" customHeight="1">
      <c r="A120" s="36"/>
      <c r="B120" s="36"/>
      <c r="C120" s="35"/>
      <c r="D120" s="35"/>
      <c r="E120" s="53"/>
      <c r="F120" s="36"/>
      <c r="G120" s="35"/>
      <c r="H120" s="36"/>
      <c r="I120" s="36"/>
      <c r="J120" s="50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</row>
    <row r="121" spans="1:67" ht="14.25" customHeight="1">
      <c r="A121" s="36"/>
      <c r="B121" s="36"/>
      <c r="C121" s="35"/>
      <c r="D121" s="35"/>
      <c r="E121" s="53"/>
      <c r="F121" s="36"/>
      <c r="G121" s="35"/>
      <c r="H121" s="36"/>
      <c r="I121" s="36"/>
      <c r="J121" s="50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</row>
    <row r="122" spans="1:67" ht="14.25" customHeight="1">
      <c r="A122" s="36"/>
      <c r="B122" s="36"/>
      <c r="C122" s="35"/>
      <c r="D122" s="35"/>
      <c r="E122" s="53"/>
      <c r="F122" s="36"/>
      <c r="G122" s="35"/>
      <c r="H122" s="36"/>
      <c r="I122" s="36"/>
      <c r="J122" s="50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</row>
    <row r="123" spans="1:67" ht="14.25" customHeight="1">
      <c r="A123" s="36"/>
      <c r="B123" s="36"/>
      <c r="C123" s="35"/>
      <c r="D123" s="35"/>
      <c r="E123" s="53"/>
      <c r="F123" s="36"/>
      <c r="G123" s="35"/>
      <c r="H123" s="36"/>
      <c r="I123" s="36"/>
      <c r="J123" s="50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</row>
    <row r="124" spans="1:67" ht="14.25" customHeight="1">
      <c r="A124" s="36"/>
      <c r="B124" s="36"/>
      <c r="C124" s="35"/>
      <c r="D124" s="35"/>
      <c r="E124" s="53"/>
      <c r="F124" s="36"/>
      <c r="G124" s="35"/>
      <c r="H124" s="36"/>
      <c r="I124" s="36"/>
      <c r="J124" s="50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</row>
    <row r="125" spans="1:67" ht="14.25" customHeight="1">
      <c r="A125" s="36"/>
      <c r="B125" s="36"/>
      <c r="C125" s="35"/>
      <c r="D125" s="35"/>
      <c r="E125" s="53"/>
      <c r="F125" s="36"/>
      <c r="G125" s="35"/>
      <c r="H125" s="36"/>
      <c r="I125" s="36"/>
      <c r="J125" s="50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</row>
    <row r="126" spans="1:67" ht="14.25" customHeight="1">
      <c r="A126" s="36"/>
      <c r="B126" s="36"/>
      <c r="C126" s="35"/>
      <c r="D126" s="35"/>
      <c r="E126" s="53"/>
      <c r="F126" s="36"/>
      <c r="G126" s="35"/>
      <c r="H126" s="36"/>
      <c r="I126" s="36"/>
      <c r="J126" s="50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</row>
    <row r="127" spans="1:67" ht="14.25" customHeight="1">
      <c r="A127" s="36"/>
      <c r="B127" s="36"/>
      <c r="C127" s="35"/>
      <c r="D127" s="35"/>
      <c r="E127" s="53"/>
      <c r="F127" s="36"/>
      <c r="G127" s="35"/>
      <c r="H127" s="36"/>
      <c r="I127" s="36"/>
      <c r="J127" s="50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</row>
    <row r="128" spans="1:67" ht="14.25" customHeight="1">
      <c r="A128" s="36"/>
      <c r="B128" s="36"/>
      <c r="C128" s="35"/>
      <c r="D128" s="35"/>
      <c r="E128" s="53"/>
      <c r="F128" s="36"/>
      <c r="G128" s="35"/>
      <c r="H128" s="36"/>
      <c r="I128" s="36"/>
      <c r="J128" s="50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</row>
    <row r="129" spans="1:67" ht="14.25" customHeight="1">
      <c r="A129" s="36"/>
      <c r="B129" s="36"/>
      <c r="C129" s="35"/>
      <c r="D129" s="35"/>
      <c r="E129" s="53"/>
      <c r="F129" s="36"/>
      <c r="G129" s="35"/>
      <c r="H129" s="36"/>
      <c r="I129" s="36"/>
      <c r="J129" s="50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</row>
    <row r="130" spans="1:67" ht="14.25" customHeight="1">
      <c r="A130" s="36"/>
      <c r="B130" s="36"/>
      <c r="C130" s="35"/>
      <c r="D130" s="35"/>
      <c r="E130" s="53"/>
      <c r="F130" s="36"/>
      <c r="G130" s="35"/>
      <c r="H130" s="36"/>
      <c r="I130" s="36"/>
      <c r="J130" s="50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</row>
    <row r="131" spans="1:67" ht="14.25" customHeight="1">
      <c r="A131" s="36"/>
      <c r="B131" s="36"/>
      <c r="C131" s="35"/>
      <c r="D131" s="35"/>
      <c r="E131" s="53"/>
      <c r="F131" s="36"/>
      <c r="G131" s="35"/>
      <c r="H131" s="36"/>
      <c r="I131" s="36"/>
      <c r="J131" s="50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</row>
    <row r="132" spans="1:67" ht="14.25" customHeight="1">
      <c r="A132" s="36"/>
      <c r="B132" s="36"/>
      <c r="C132" s="35"/>
      <c r="D132" s="35"/>
      <c r="E132" s="53"/>
      <c r="F132" s="36"/>
      <c r="G132" s="35"/>
      <c r="H132" s="36"/>
      <c r="I132" s="36"/>
      <c r="J132" s="50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</row>
    <row r="133" spans="1:67" ht="14.25" customHeight="1">
      <c r="A133" s="36"/>
      <c r="B133" s="36"/>
      <c r="C133" s="35"/>
      <c r="D133" s="35"/>
      <c r="E133" s="53"/>
      <c r="F133" s="36"/>
      <c r="G133" s="35"/>
      <c r="H133" s="36"/>
      <c r="I133" s="36"/>
      <c r="J133" s="50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</row>
    <row r="134" spans="1:67" ht="14.25" customHeight="1">
      <c r="A134" s="36"/>
      <c r="B134" s="36"/>
      <c r="C134" s="35"/>
      <c r="D134" s="35"/>
      <c r="E134" s="53"/>
      <c r="F134" s="36"/>
      <c r="G134" s="35"/>
      <c r="H134" s="36"/>
      <c r="I134" s="36"/>
      <c r="J134" s="50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</row>
    <row r="135" spans="1:67" ht="14.25" customHeight="1">
      <c r="A135" s="36"/>
      <c r="B135" s="36"/>
      <c r="C135" s="35"/>
      <c r="D135" s="35"/>
      <c r="E135" s="53"/>
      <c r="F135" s="36"/>
      <c r="G135" s="35"/>
      <c r="H135" s="36"/>
      <c r="I135" s="36"/>
      <c r="J135" s="50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</row>
    <row r="136" spans="1:67" ht="14.25" customHeight="1">
      <c r="A136" s="36"/>
      <c r="B136" s="36"/>
      <c r="C136" s="35"/>
      <c r="D136" s="35"/>
      <c r="E136" s="53"/>
      <c r="F136" s="36"/>
      <c r="G136" s="35"/>
      <c r="H136" s="36"/>
      <c r="I136" s="36"/>
      <c r="J136" s="50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</row>
    <row r="137" spans="1:67" ht="14.25" customHeight="1">
      <c r="A137" s="36"/>
      <c r="B137" s="36"/>
      <c r="C137" s="35"/>
      <c r="D137" s="35"/>
      <c r="E137" s="53"/>
      <c r="F137" s="36"/>
      <c r="G137" s="35"/>
      <c r="H137" s="36"/>
      <c r="I137" s="36"/>
      <c r="J137" s="50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</row>
    <row r="138" spans="1:67" ht="14.25" customHeight="1">
      <c r="A138" s="36"/>
      <c r="B138" s="36"/>
      <c r="C138" s="35"/>
      <c r="D138" s="35"/>
      <c r="E138" s="53"/>
      <c r="F138" s="36"/>
      <c r="G138" s="35"/>
      <c r="H138" s="36"/>
      <c r="I138" s="36"/>
      <c r="J138" s="50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</row>
    <row r="139" spans="1:67" ht="14.25" customHeight="1">
      <c r="A139" s="36"/>
      <c r="B139" s="36"/>
      <c r="C139" s="35"/>
      <c r="D139" s="35"/>
      <c r="E139" s="53"/>
      <c r="F139" s="36"/>
      <c r="G139" s="35"/>
      <c r="H139" s="36"/>
      <c r="I139" s="36"/>
      <c r="J139" s="50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</row>
    <row r="140" spans="1:67" ht="14.25" customHeight="1">
      <c r="A140" s="36"/>
      <c r="B140" s="36"/>
      <c r="C140" s="35"/>
      <c r="D140" s="35"/>
      <c r="E140" s="53"/>
      <c r="F140" s="36"/>
      <c r="G140" s="35"/>
      <c r="H140" s="36"/>
      <c r="I140" s="36"/>
      <c r="J140" s="50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</row>
    <row r="141" spans="1:67" ht="14.25" customHeight="1">
      <c r="A141" s="36"/>
      <c r="B141" s="36"/>
      <c r="C141" s="35"/>
      <c r="D141" s="35"/>
      <c r="E141" s="53"/>
      <c r="F141" s="36"/>
      <c r="G141" s="35"/>
      <c r="H141" s="36"/>
      <c r="I141" s="36"/>
      <c r="J141" s="50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</row>
    <row r="142" spans="1:67" ht="14.25" customHeight="1">
      <c r="A142" s="36"/>
      <c r="B142" s="36"/>
      <c r="C142" s="35"/>
      <c r="D142" s="35"/>
      <c r="E142" s="53"/>
      <c r="F142" s="36"/>
      <c r="G142" s="35"/>
      <c r="H142" s="36"/>
      <c r="I142" s="36"/>
      <c r="J142" s="50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</row>
    <row r="143" spans="1:67" ht="14.25" customHeight="1">
      <c r="A143" s="36"/>
      <c r="B143" s="36"/>
      <c r="C143" s="35"/>
      <c r="D143" s="35"/>
      <c r="E143" s="53"/>
      <c r="F143" s="36"/>
      <c r="G143" s="35"/>
      <c r="H143" s="36"/>
      <c r="I143" s="36"/>
      <c r="J143" s="50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</row>
    <row r="144" spans="1:67" ht="14.25" customHeight="1">
      <c r="A144" s="36"/>
      <c r="B144" s="36"/>
      <c r="C144" s="35"/>
      <c r="D144" s="35"/>
      <c r="E144" s="53"/>
      <c r="F144" s="36"/>
      <c r="G144" s="35"/>
      <c r="H144" s="36"/>
      <c r="I144" s="36"/>
      <c r="J144" s="50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</row>
    <row r="145" spans="1:67" ht="14.25" customHeight="1">
      <c r="A145" s="36"/>
      <c r="B145" s="36"/>
      <c r="C145" s="35"/>
      <c r="D145" s="35"/>
      <c r="E145" s="53"/>
      <c r="F145" s="36"/>
      <c r="G145" s="35"/>
      <c r="H145" s="36"/>
      <c r="I145" s="36"/>
      <c r="J145" s="50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</row>
    <row r="146" spans="1:67" ht="14.25" customHeight="1">
      <c r="A146" s="36"/>
      <c r="B146" s="36"/>
      <c r="C146" s="35"/>
      <c r="D146" s="35"/>
      <c r="E146" s="53"/>
      <c r="F146" s="36"/>
      <c r="G146" s="35"/>
      <c r="H146" s="36"/>
      <c r="I146" s="36"/>
      <c r="J146" s="50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</row>
    <row r="147" spans="1:67" ht="14.25" customHeight="1">
      <c r="A147" s="36"/>
      <c r="B147" s="36"/>
      <c r="C147" s="35"/>
      <c r="D147" s="35"/>
      <c r="E147" s="53"/>
      <c r="F147" s="36"/>
      <c r="G147" s="35"/>
      <c r="H147" s="36"/>
      <c r="I147" s="36"/>
      <c r="J147" s="50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</row>
    <row r="148" spans="1:67" ht="14.25" customHeight="1">
      <c r="A148" s="36"/>
      <c r="B148" s="36"/>
      <c r="C148" s="35"/>
      <c r="D148" s="35"/>
      <c r="E148" s="53"/>
      <c r="F148" s="36"/>
      <c r="G148" s="35"/>
      <c r="H148" s="36"/>
      <c r="I148" s="36"/>
      <c r="J148" s="50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</row>
    <row r="149" spans="1:67" ht="14.25" customHeight="1">
      <c r="A149" s="36"/>
      <c r="B149" s="36"/>
      <c r="C149" s="35"/>
      <c r="D149" s="35"/>
      <c r="E149" s="53"/>
      <c r="F149" s="36"/>
      <c r="G149" s="35"/>
      <c r="H149" s="36"/>
      <c r="I149" s="36"/>
      <c r="J149" s="50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</row>
    <row r="150" spans="1:67" ht="14.25" customHeight="1">
      <c r="A150" s="36"/>
      <c r="B150" s="36"/>
      <c r="C150" s="35"/>
      <c r="D150" s="35"/>
      <c r="E150" s="53"/>
      <c r="F150" s="36"/>
      <c r="G150" s="35"/>
      <c r="H150" s="36"/>
      <c r="I150" s="36"/>
      <c r="J150" s="50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</row>
    <row r="151" spans="1:67" ht="14.25" customHeight="1">
      <c r="A151" s="36"/>
      <c r="B151" s="36"/>
      <c r="C151" s="35"/>
      <c r="D151" s="35"/>
      <c r="E151" s="53"/>
      <c r="F151" s="36"/>
      <c r="G151" s="35"/>
      <c r="H151" s="36"/>
      <c r="I151" s="36"/>
      <c r="J151" s="50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</row>
    <row r="152" spans="1:67" ht="14.25" customHeight="1">
      <c r="A152" s="36"/>
      <c r="B152" s="36"/>
      <c r="C152" s="35"/>
      <c r="D152" s="35"/>
      <c r="E152" s="53"/>
      <c r="F152" s="36"/>
      <c r="G152" s="35"/>
      <c r="H152" s="36"/>
      <c r="I152" s="36"/>
      <c r="J152" s="50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</row>
    <row r="153" spans="1:67" ht="14.25" customHeight="1">
      <c r="A153" s="36"/>
      <c r="B153" s="36"/>
      <c r="C153" s="35"/>
      <c r="D153" s="35"/>
      <c r="E153" s="53"/>
      <c r="F153" s="36"/>
      <c r="G153" s="35"/>
      <c r="H153" s="36"/>
      <c r="I153" s="36"/>
      <c r="J153" s="50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</row>
    <row r="154" spans="1:67" ht="14.25" customHeight="1">
      <c r="A154" s="36"/>
      <c r="B154" s="36"/>
      <c r="C154" s="35"/>
      <c r="D154" s="35"/>
      <c r="E154" s="53"/>
      <c r="F154" s="36"/>
      <c r="G154" s="35"/>
      <c r="H154" s="36"/>
      <c r="I154" s="36"/>
      <c r="J154" s="50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</row>
    <row r="155" spans="1:67" ht="14.25" customHeight="1">
      <c r="A155" s="36"/>
      <c r="B155" s="36"/>
      <c r="C155" s="35"/>
      <c r="D155" s="35"/>
      <c r="E155" s="53"/>
      <c r="F155" s="36"/>
      <c r="G155" s="35"/>
      <c r="H155" s="36"/>
      <c r="I155" s="36"/>
      <c r="J155" s="50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</row>
    <row r="156" spans="1:67" ht="14.25" customHeight="1">
      <c r="A156" s="36"/>
      <c r="B156" s="36"/>
      <c r="C156" s="35"/>
      <c r="D156" s="35"/>
      <c r="E156" s="53"/>
      <c r="F156" s="36"/>
      <c r="G156" s="35"/>
      <c r="H156" s="36"/>
      <c r="I156" s="36"/>
      <c r="J156" s="50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</row>
    <row r="157" spans="1:67" ht="14.25" customHeight="1">
      <c r="A157" s="36"/>
      <c r="B157" s="36"/>
      <c r="C157" s="35"/>
      <c r="D157" s="35"/>
      <c r="E157" s="53"/>
      <c r="F157" s="36"/>
      <c r="G157" s="35"/>
      <c r="H157" s="36"/>
      <c r="I157" s="36"/>
      <c r="J157" s="50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</row>
    <row r="158" spans="1:67" ht="14.25" customHeight="1">
      <c r="A158" s="36"/>
      <c r="B158" s="36"/>
      <c r="C158" s="35"/>
      <c r="D158" s="35"/>
      <c r="E158" s="53"/>
      <c r="F158" s="36"/>
      <c r="G158" s="35"/>
      <c r="H158" s="36"/>
      <c r="I158" s="36"/>
      <c r="J158" s="50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</row>
    <row r="159" spans="1:67" ht="14.25" customHeight="1">
      <c r="A159" s="36"/>
      <c r="B159" s="36"/>
      <c r="C159" s="35"/>
      <c r="D159" s="35"/>
      <c r="E159" s="53"/>
      <c r="F159" s="36"/>
      <c r="G159" s="35"/>
      <c r="H159" s="36"/>
      <c r="I159" s="36"/>
      <c r="J159" s="50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</row>
    <row r="160" spans="1:67" ht="14.25" customHeight="1">
      <c r="A160" s="36"/>
      <c r="B160" s="36"/>
      <c r="C160" s="35"/>
      <c r="D160" s="35"/>
      <c r="E160" s="53"/>
      <c r="F160" s="36"/>
      <c r="G160" s="35"/>
      <c r="H160" s="36"/>
      <c r="I160" s="36"/>
      <c r="J160" s="50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</row>
    <row r="161" spans="1:67" ht="14.25" customHeight="1">
      <c r="A161" s="36"/>
      <c r="B161" s="36"/>
      <c r="C161" s="35"/>
      <c r="D161" s="35"/>
      <c r="E161" s="53"/>
      <c r="F161" s="36"/>
      <c r="G161" s="35"/>
      <c r="H161" s="36"/>
      <c r="I161" s="36"/>
      <c r="J161" s="50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</row>
    <row r="162" spans="1:67" ht="14.25" customHeight="1">
      <c r="A162" s="36"/>
      <c r="B162" s="36"/>
      <c r="C162" s="35"/>
      <c r="D162" s="35"/>
      <c r="E162" s="53"/>
      <c r="F162" s="36"/>
      <c r="G162" s="35"/>
      <c r="H162" s="36"/>
      <c r="I162" s="36"/>
      <c r="J162" s="50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</row>
    <row r="163" spans="1:67" ht="14.25" customHeight="1">
      <c r="A163" s="36"/>
      <c r="B163" s="36"/>
      <c r="C163" s="35"/>
      <c r="D163" s="35"/>
      <c r="E163" s="53"/>
      <c r="F163" s="36"/>
      <c r="G163" s="35"/>
      <c r="H163" s="36"/>
      <c r="I163" s="36"/>
      <c r="J163" s="50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</row>
    <row r="164" spans="1:67" ht="14.25" customHeight="1">
      <c r="A164" s="36"/>
      <c r="B164" s="36"/>
      <c r="C164" s="35"/>
      <c r="D164" s="35"/>
      <c r="E164" s="53"/>
      <c r="F164" s="36"/>
      <c r="G164" s="35"/>
      <c r="H164" s="36"/>
      <c r="I164" s="36"/>
      <c r="J164" s="50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</row>
    <row r="165" spans="1:67" ht="14.25" customHeight="1">
      <c r="A165" s="36"/>
      <c r="B165" s="36"/>
      <c r="C165" s="35"/>
      <c r="D165" s="35"/>
      <c r="E165" s="53"/>
      <c r="F165" s="36"/>
      <c r="G165" s="35"/>
      <c r="H165" s="36"/>
      <c r="I165" s="36"/>
      <c r="J165" s="50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</row>
    <row r="166" spans="1:67" ht="14.25" customHeight="1">
      <c r="A166" s="36"/>
      <c r="B166" s="36"/>
      <c r="C166" s="35"/>
      <c r="D166" s="35"/>
      <c r="E166" s="53"/>
      <c r="F166" s="36"/>
      <c r="G166" s="35"/>
      <c r="H166" s="36"/>
      <c r="I166" s="36"/>
      <c r="J166" s="50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</row>
    <row r="167" spans="1:67" ht="14.25" customHeight="1">
      <c r="A167" s="36"/>
      <c r="B167" s="36"/>
      <c r="C167" s="35"/>
      <c r="D167" s="35"/>
      <c r="E167" s="53"/>
      <c r="F167" s="36"/>
      <c r="G167" s="35"/>
      <c r="H167" s="36"/>
      <c r="I167" s="36"/>
      <c r="J167" s="50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</row>
    <row r="168" spans="1:67" ht="14.25" customHeight="1">
      <c r="A168" s="36"/>
      <c r="B168" s="36"/>
      <c r="C168" s="35"/>
      <c r="D168" s="35"/>
      <c r="E168" s="53"/>
      <c r="F168" s="36"/>
      <c r="G168" s="35"/>
      <c r="H168" s="36"/>
      <c r="I168" s="36"/>
      <c r="J168" s="50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</row>
    <row r="169" spans="1:67" ht="14.25" customHeight="1">
      <c r="A169" s="36"/>
      <c r="B169" s="36"/>
      <c r="C169" s="35"/>
      <c r="D169" s="35"/>
      <c r="E169" s="53"/>
      <c r="F169" s="36"/>
      <c r="G169" s="35"/>
      <c r="H169" s="36"/>
      <c r="I169" s="36"/>
      <c r="J169" s="50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</row>
    <row r="170" spans="1:67" ht="14.25" customHeight="1">
      <c r="A170" s="36"/>
      <c r="B170" s="36"/>
      <c r="C170" s="35"/>
      <c r="D170" s="35"/>
      <c r="E170" s="53"/>
      <c r="F170" s="36"/>
      <c r="G170" s="35"/>
      <c r="H170" s="36"/>
      <c r="I170" s="36"/>
      <c r="J170" s="50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</row>
    <row r="171" spans="1:67" ht="14.25" customHeight="1">
      <c r="A171" s="36"/>
      <c r="B171" s="36"/>
      <c r="C171" s="35"/>
      <c r="D171" s="35"/>
      <c r="E171" s="53"/>
      <c r="F171" s="36"/>
      <c r="G171" s="35"/>
      <c r="H171" s="36"/>
      <c r="I171" s="36"/>
      <c r="J171" s="50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</row>
    <row r="172" spans="1:67" ht="14.25" customHeight="1">
      <c r="A172" s="36"/>
      <c r="B172" s="36"/>
      <c r="C172" s="35"/>
      <c r="D172" s="35"/>
      <c r="E172" s="53"/>
      <c r="F172" s="36"/>
      <c r="G172" s="35"/>
      <c r="H172" s="36"/>
      <c r="I172" s="36"/>
      <c r="J172" s="50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</row>
    <row r="173" spans="1:67" ht="14.25" customHeight="1">
      <c r="A173" s="36"/>
      <c r="B173" s="36"/>
      <c r="C173" s="35"/>
      <c r="D173" s="35"/>
      <c r="E173" s="53"/>
      <c r="F173" s="36"/>
      <c r="G173" s="35"/>
      <c r="H173" s="36"/>
      <c r="I173" s="36"/>
      <c r="J173" s="50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</row>
    <row r="174" spans="1:67" ht="14.25" customHeight="1">
      <c r="A174" s="36"/>
      <c r="B174" s="36"/>
      <c r="C174" s="35"/>
      <c r="D174" s="35"/>
      <c r="E174" s="53"/>
      <c r="F174" s="36"/>
      <c r="G174" s="35"/>
      <c r="H174" s="36"/>
      <c r="I174" s="36"/>
      <c r="J174" s="50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</row>
    <row r="175" spans="1:67" ht="14.25" customHeight="1">
      <c r="A175" s="36"/>
      <c r="B175" s="36"/>
      <c r="C175" s="35"/>
      <c r="D175" s="35"/>
      <c r="E175" s="53"/>
      <c r="F175" s="36"/>
      <c r="G175" s="35"/>
      <c r="H175" s="36"/>
      <c r="I175" s="36"/>
      <c r="J175" s="50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</row>
    <row r="176" spans="1:67" ht="14.25" customHeight="1">
      <c r="A176" s="36"/>
      <c r="B176" s="36"/>
      <c r="C176" s="35"/>
      <c r="D176" s="35"/>
      <c r="E176" s="53"/>
      <c r="F176" s="36"/>
      <c r="G176" s="35"/>
      <c r="H176" s="36"/>
      <c r="I176" s="36"/>
      <c r="J176" s="50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</row>
    <row r="177" spans="1:67" ht="14.25" customHeight="1">
      <c r="A177" s="36"/>
      <c r="B177" s="36"/>
      <c r="C177" s="35"/>
      <c r="D177" s="35"/>
      <c r="E177" s="53"/>
      <c r="F177" s="36"/>
      <c r="G177" s="35"/>
      <c r="H177" s="36"/>
      <c r="I177" s="36"/>
      <c r="J177" s="50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</row>
    <row r="178" spans="1:67" ht="14.25" customHeight="1">
      <c r="A178" s="36"/>
      <c r="B178" s="36"/>
      <c r="C178" s="35"/>
      <c r="D178" s="35"/>
      <c r="E178" s="53"/>
      <c r="F178" s="36"/>
      <c r="G178" s="35"/>
      <c r="H178" s="36"/>
      <c r="I178" s="36"/>
      <c r="J178" s="50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</row>
    <row r="179" spans="1:67" ht="14.25" customHeight="1">
      <c r="A179" s="36"/>
      <c r="B179" s="36"/>
      <c r="C179" s="35"/>
      <c r="D179" s="35"/>
      <c r="E179" s="53"/>
      <c r="F179" s="36"/>
      <c r="G179" s="35"/>
      <c r="H179" s="36"/>
      <c r="I179" s="36"/>
      <c r="J179" s="50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</row>
    <row r="180" spans="1:67" ht="14.25" customHeight="1">
      <c r="A180" s="36"/>
      <c r="B180" s="36"/>
      <c r="C180" s="35"/>
      <c r="D180" s="35"/>
      <c r="E180" s="53"/>
      <c r="F180" s="36"/>
      <c r="G180" s="35"/>
      <c r="H180" s="36"/>
      <c r="I180" s="36"/>
      <c r="J180" s="50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</row>
    <row r="181" spans="1:67" ht="14.25" customHeight="1">
      <c r="A181" s="36"/>
      <c r="B181" s="36"/>
      <c r="C181" s="35"/>
      <c r="D181" s="35"/>
      <c r="E181" s="53"/>
      <c r="F181" s="36"/>
      <c r="G181" s="35"/>
      <c r="H181" s="36"/>
      <c r="I181" s="36"/>
      <c r="J181" s="50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</row>
    <row r="182" spans="1:67" ht="14.25" customHeight="1">
      <c r="A182" s="36"/>
      <c r="B182" s="36"/>
      <c r="C182" s="35"/>
      <c r="D182" s="35"/>
      <c r="E182" s="53"/>
      <c r="F182" s="36"/>
      <c r="G182" s="35"/>
      <c r="H182" s="36"/>
      <c r="I182" s="36"/>
      <c r="J182" s="50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</row>
    <row r="183" spans="1:67" ht="14.25" customHeight="1">
      <c r="A183" s="36"/>
      <c r="B183" s="36"/>
      <c r="C183" s="35"/>
      <c r="D183" s="35"/>
      <c r="E183" s="53"/>
      <c r="F183" s="36"/>
      <c r="G183" s="35"/>
      <c r="H183" s="36"/>
      <c r="I183" s="36"/>
      <c r="J183" s="50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</row>
    <row r="184" spans="1:67" ht="14.25" customHeight="1">
      <c r="A184" s="36"/>
      <c r="B184" s="36"/>
      <c r="C184" s="35"/>
      <c r="D184" s="35"/>
      <c r="E184" s="53"/>
      <c r="F184" s="36"/>
      <c r="G184" s="35"/>
      <c r="H184" s="36"/>
      <c r="I184" s="36"/>
      <c r="J184" s="50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</row>
    <row r="185" spans="1:67" ht="14.25" customHeight="1">
      <c r="A185" s="36"/>
      <c r="B185" s="36"/>
      <c r="C185" s="35"/>
      <c r="D185" s="35"/>
      <c r="E185" s="53"/>
      <c r="F185" s="36"/>
      <c r="G185" s="35"/>
      <c r="H185" s="36"/>
      <c r="I185" s="36"/>
      <c r="J185" s="50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</row>
    <row r="186" spans="1:67" ht="14.25" customHeight="1">
      <c r="A186" s="36"/>
      <c r="B186" s="36"/>
      <c r="C186" s="35"/>
      <c r="D186" s="35"/>
      <c r="E186" s="53"/>
      <c r="F186" s="36"/>
      <c r="G186" s="35"/>
      <c r="H186" s="36"/>
      <c r="I186" s="36"/>
      <c r="J186" s="50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</row>
    <row r="187" spans="1:67" ht="14.25" customHeight="1">
      <c r="A187" s="36"/>
      <c r="B187" s="36"/>
      <c r="C187" s="35"/>
      <c r="D187" s="35"/>
      <c r="E187" s="53"/>
      <c r="F187" s="36"/>
      <c r="G187" s="35"/>
      <c r="H187" s="36"/>
      <c r="I187" s="36"/>
      <c r="J187" s="50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</row>
    <row r="188" spans="1:67" ht="14.25" customHeight="1">
      <c r="A188" s="36"/>
      <c r="B188" s="36"/>
      <c r="C188" s="35"/>
      <c r="D188" s="35"/>
      <c r="E188" s="53"/>
      <c r="F188" s="36"/>
      <c r="G188" s="35"/>
      <c r="H188" s="36"/>
      <c r="I188" s="36"/>
      <c r="J188" s="50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</row>
    <row r="189" spans="1:67" ht="14.25" customHeight="1">
      <c r="A189" s="36"/>
      <c r="B189" s="36"/>
      <c r="C189" s="35"/>
      <c r="D189" s="35"/>
      <c r="E189" s="53"/>
      <c r="F189" s="36"/>
      <c r="G189" s="35"/>
      <c r="H189" s="36"/>
      <c r="I189" s="36"/>
      <c r="J189" s="50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</row>
    <row r="190" spans="1:67" ht="14.25" customHeight="1">
      <c r="A190" s="36"/>
      <c r="B190" s="36"/>
      <c r="C190" s="35"/>
      <c r="D190" s="35"/>
      <c r="E190" s="53"/>
      <c r="F190" s="36"/>
      <c r="G190" s="35"/>
      <c r="H190" s="36"/>
      <c r="I190" s="36"/>
      <c r="J190" s="50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</row>
    <row r="191" spans="1:67" ht="14.25" customHeight="1">
      <c r="A191" s="36"/>
      <c r="B191" s="36"/>
      <c r="C191" s="35"/>
      <c r="D191" s="35"/>
      <c r="E191" s="53"/>
      <c r="F191" s="36"/>
      <c r="G191" s="35"/>
      <c r="H191" s="36"/>
      <c r="I191" s="36"/>
      <c r="J191" s="50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</row>
    <row r="192" spans="1:67" ht="14.25" customHeight="1">
      <c r="A192" s="36"/>
      <c r="B192" s="36"/>
      <c r="C192" s="35"/>
      <c r="D192" s="35"/>
      <c r="E192" s="53"/>
      <c r="F192" s="36"/>
      <c r="G192" s="35"/>
      <c r="H192" s="36"/>
      <c r="I192" s="36"/>
      <c r="J192" s="50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</row>
    <row r="193" spans="1:67" ht="14.25" customHeight="1">
      <c r="A193" s="36"/>
      <c r="B193" s="36"/>
      <c r="C193" s="35"/>
      <c r="D193" s="35"/>
      <c r="E193" s="53"/>
      <c r="F193" s="36"/>
      <c r="G193" s="35"/>
      <c r="H193" s="36"/>
      <c r="I193" s="36"/>
      <c r="J193" s="50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</row>
    <row r="194" spans="1:67" ht="14.25" customHeight="1">
      <c r="A194" s="36"/>
      <c r="B194" s="36"/>
      <c r="C194" s="35"/>
      <c r="D194" s="35"/>
      <c r="E194" s="53"/>
      <c r="F194" s="36"/>
      <c r="G194" s="35"/>
      <c r="H194" s="36"/>
      <c r="I194" s="36"/>
      <c r="J194" s="50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</row>
    <row r="195" spans="1:67" ht="14.25" customHeight="1">
      <c r="A195" s="36"/>
      <c r="B195" s="36"/>
      <c r="C195" s="35"/>
      <c r="D195" s="35"/>
      <c r="E195" s="53"/>
      <c r="F195" s="36"/>
      <c r="G195" s="35"/>
      <c r="H195" s="36"/>
      <c r="I195" s="36"/>
      <c r="J195" s="50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</row>
    <row r="196" spans="1:67" ht="14.25" customHeight="1">
      <c r="A196" s="36"/>
      <c r="B196" s="36"/>
      <c r="C196" s="35"/>
      <c r="D196" s="35"/>
      <c r="E196" s="53"/>
      <c r="F196" s="36"/>
      <c r="G196" s="35"/>
      <c r="H196" s="36"/>
      <c r="I196" s="36"/>
      <c r="J196" s="50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</row>
    <row r="197" spans="1:67" ht="14.25" customHeight="1">
      <c r="A197" s="36"/>
      <c r="B197" s="36"/>
      <c r="C197" s="35"/>
      <c r="D197" s="35"/>
      <c r="E197" s="53"/>
      <c r="F197" s="36"/>
      <c r="G197" s="35"/>
      <c r="H197" s="36"/>
      <c r="I197" s="36"/>
      <c r="J197" s="50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</row>
    <row r="198" spans="1:67" ht="14.25" customHeight="1">
      <c r="A198" s="36"/>
      <c r="B198" s="36"/>
      <c r="C198" s="35"/>
      <c r="D198" s="35"/>
      <c r="E198" s="53"/>
      <c r="F198" s="36"/>
      <c r="G198" s="35"/>
      <c r="H198" s="36"/>
      <c r="I198" s="36"/>
      <c r="J198" s="50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</row>
    <row r="199" spans="1:67" ht="14.25" customHeight="1">
      <c r="A199" s="36"/>
      <c r="B199" s="36"/>
      <c r="C199" s="35"/>
      <c r="D199" s="35"/>
      <c r="E199" s="53"/>
      <c r="F199" s="36"/>
      <c r="G199" s="35"/>
      <c r="H199" s="36"/>
      <c r="I199" s="36"/>
      <c r="J199" s="50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</row>
    <row r="200" spans="1:67" ht="14.25" customHeight="1">
      <c r="A200" s="36"/>
      <c r="B200" s="36"/>
      <c r="C200" s="35"/>
      <c r="D200" s="35"/>
      <c r="E200" s="53"/>
      <c r="F200" s="36"/>
      <c r="G200" s="35"/>
      <c r="H200" s="36"/>
      <c r="I200" s="36"/>
      <c r="J200" s="50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</row>
    <row r="201" spans="1:67" ht="14.25" customHeight="1">
      <c r="A201" s="36"/>
      <c r="B201" s="36"/>
      <c r="C201" s="35"/>
      <c r="D201" s="35"/>
      <c r="E201" s="53"/>
      <c r="F201" s="36"/>
      <c r="G201" s="35"/>
      <c r="H201" s="36"/>
      <c r="I201" s="36"/>
      <c r="J201" s="50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</row>
    <row r="202" spans="1:67" ht="14.25" customHeight="1">
      <c r="A202" s="36"/>
      <c r="B202" s="36"/>
      <c r="C202" s="35"/>
      <c r="D202" s="35"/>
      <c r="E202" s="53"/>
      <c r="F202" s="36"/>
      <c r="G202" s="35"/>
      <c r="H202" s="36"/>
      <c r="I202" s="36"/>
      <c r="J202" s="50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</row>
    <row r="203" spans="1:67" ht="14.25" customHeight="1">
      <c r="A203" s="36"/>
      <c r="B203" s="36"/>
      <c r="C203" s="35"/>
      <c r="D203" s="35"/>
      <c r="E203" s="53"/>
      <c r="F203" s="36"/>
      <c r="G203" s="35"/>
      <c r="H203" s="36"/>
      <c r="I203" s="36"/>
      <c r="J203" s="50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</row>
    <row r="204" spans="1:67" ht="14.25" customHeight="1">
      <c r="A204" s="36"/>
      <c r="B204" s="36"/>
      <c r="C204" s="35"/>
      <c r="D204" s="35"/>
      <c r="E204" s="53"/>
      <c r="F204" s="36"/>
      <c r="G204" s="35"/>
      <c r="H204" s="36"/>
      <c r="I204" s="36"/>
      <c r="J204" s="50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</row>
    <row r="205" spans="1:67" ht="14.25" customHeight="1">
      <c r="A205" s="36"/>
      <c r="B205" s="36"/>
      <c r="C205" s="35"/>
      <c r="D205" s="35"/>
      <c r="E205" s="53"/>
      <c r="F205" s="36"/>
      <c r="G205" s="35"/>
      <c r="H205" s="36"/>
      <c r="I205" s="36"/>
      <c r="J205" s="50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</row>
    <row r="206" spans="1:67" ht="14.25" customHeight="1">
      <c r="A206" s="36"/>
      <c r="B206" s="36"/>
      <c r="C206" s="35"/>
      <c r="D206" s="35"/>
      <c r="E206" s="53"/>
      <c r="F206" s="36"/>
      <c r="G206" s="35"/>
      <c r="H206" s="36"/>
      <c r="I206" s="36"/>
      <c r="J206" s="50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</row>
    <row r="207" spans="1:67" ht="14.25" customHeight="1">
      <c r="A207" s="36"/>
      <c r="B207" s="36"/>
      <c r="C207" s="35"/>
      <c r="D207" s="35"/>
      <c r="E207" s="53"/>
      <c r="F207" s="36"/>
      <c r="G207" s="35"/>
      <c r="H207" s="36"/>
      <c r="I207" s="36"/>
      <c r="J207" s="50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</row>
    <row r="208" spans="1:67" ht="14.25" customHeight="1">
      <c r="A208" s="36"/>
      <c r="B208" s="36"/>
      <c r="C208" s="35"/>
      <c r="D208" s="35"/>
      <c r="E208" s="53"/>
      <c r="F208" s="36"/>
      <c r="G208" s="35"/>
      <c r="H208" s="36"/>
      <c r="I208" s="36"/>
      <c r="J208" s="50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</row>
    <row r="209" spans="1:67" ht="14.25" customHeight="1">
      <c r="A209" s="36"/>
      <c r="B209" s="36"/>
      <c r="C209" s="35"/>
      <c r="D209" s="35"/>
      <c r="E209" s="53"/>
      <c r="F209" s="36"/>
      <c r="G209" s="35"/>
      <c r="H209" s="36"/>
      <c r="I209" s="36"/>
      <c r="J209" s="50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</row>
    <row r="210" spans="1:67" ht="14.25" customHeight="1">
      <c r="A210" s="36"/>
      <c r="B210" s="36"/>
      <c r="C210" s="35"/>
      <c r="D210" s="35"/>
      <c r="E210" s="53"/>
      <c r="F210" s="36"/>
      <c r="G210" s="35"/>
      <c r="H210" s="36"/>
      <c r="I210" s="36"/>
      <c r="J210" s="50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</row>
    <row r="211" spans="1:67" ht="14.25" customHeight="1">
      <c r="A211" s="36"/>
      <c r="B211" s="36"/>
      <c r="C211" s="35"/>
      <c r="D211" s="35"/>
      <c r="E211" s="53"/>
      <c r="F211" s="36"/>
      <c r="G211" s="35"/>
      <c r="H211" s="36"/>
      <c r="I211" s="36"/>
      <c r="J211" s="50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</row>
    <row r="212" spans="1:67" ht="14.25" customHeight="1">
      <c r="A212" s="36"/>
      <c r="B212" s="36"/>
      <c r="C212" s="35"/>
      <c r="D212" s="35"/>
      <c r="E212" s="53"/>
      <c r="F212" s="36"/>
      <c r="G212" s="35"/>
      <c r="H212" s="36"/>
      <c r="I212" s="36"/>
      <c r="J212" s="50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</row>
    <row r="213" spans="1:67" ht="14.25" customHeight="1">
      <c r="A213" s="36"/>
      <c r="B213" s="36"/>
      <c r="C213" s="35"/>
      <c r="D213" s="35"/>
      <c r="E213" s="53"/>
      <c r="F213" s="36"/>
      <c r="G213" s="35"/>
      <c r="H213" s="36"/>
      <c r="I213" s="36"/>
      <c r="J213" s="50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</row>
    <row r="214" spans="1:67" ht="14.25" customHeight="1">
      <c r="A214" s="36"/>
      <c r="B214" s="36"/>
      <c r="C214" s="35"/>
      <c r="D214" s="35"/>
      <c r="E214" s="53"/>
      <c r="F214" s="36"/>
      <c r="G214" s="35"/>
      <c r="H214" s="36"/>
      <c r="I214" s="36"/>
      <c r="J214" s="50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</row>
    <row r="215" spans="1:67" ht="14.25" customHeight="1">
      <c r="A215" s="36"/>
      <c r="B215" s="36"/>
      <c r="C215" s="35"/>
      <c r="D215" s="35"/>
      <c r="E215" s="53"/>
      <c r="F215" s="36"/>
      <c r="G215" s="35"/>
      <c r="H215" s="36"/>
      <c r="I215" s="36"/>
      <c r="J215" s="50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</row>
    <row r="216" spans="1:67" ht="14.25" customHeight="1">
      <c r="A216" s="36"/>
      <c r="B216" s="36"/>
      <c r="C216" s="35"/>
      <c r="D216" s="35"/>
      <c r="E216" s="53"/>
      <c r="F216" s="36"/>
      <c r="G216" s="35"/>
      <c r="H216" s="36"/>
      <c r="I216" s="36"/>
      <c r="J216" s="50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</row>
    <row r="217" spans="1:67" ht="14.25" customHeight="1">
      <c r="A217" s="36"/>
      <c r="B217" s="36"/>
      <c r="C217" s="35"/>
      <c r="D217" s="35"/>
      <c r="E217" s="53"/>
      <c r="F217" s="36"/>
      <c r="G217" s="35"/>
      <c r="H217" s="36"/>
      <c r="I217" s="36"/>
      <c r="J217" s="50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</row>
    <row r="218" spans="1:67" ht="14.25" customHeight="1">
      <c r="A218" s="36"/>
      <c r="B218" s="36"/>
      <c r="C218" s="35"/>
      <c r="D218" s="35"/>
      <c r="E218" s="53"/>
      <c r="F218" s="36"/>
      <c r="G218" s="35"/>
      <c r="H218" s="36"/>
      <c r="I218" s="36"/>
      <c r="J218" s="50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</row>
    <row r="219" spans="1:67" ht="14.25" customHeight="1">
      <c r="A219" s="36"/>
      <c r="B219" s="36"/>
      <c r="C219" s="35"/>
      <c r="D219" s="35"/>
      <c r="E219" s="53"/>
      <c r="F219" s="36"/>
      <c r="G219" s="35"/>
      <c r="H219" s="36"/>
      <c r="I219" s="36"/>
      <c r="J219" s="50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</row>
    <row r="220" spans="1:67" ht="14.25" customHeight="1">
      <c r="A220" s="36"/>
      <c r="B220" s="36"/>
      <c r="C220" s="35"/>
      <c r="D220" s="35"/>
      <c r="E220" s="53"/>
      <c r="F220" s="36"/>
      <c r="G220" s="35"/>
      <c r="H220" s="36"/>
      <c r="I220" s="36"/>
      <c r="J220" s="50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</row>
    <row r="221" spans="1:67" ht="14.25" customHeight="1">
      <c r="A221" s="36"/>
      <c r="B221" s="36"/>
      <c r="C221" s="35"/>
      <c r="D221" s="35"/>
      <c r="E221" s="53"/>
      <c r="F221" s="36"/>
      <c r="G221" s="35"/>
      <c r="H221" s="36"/>
      <c r="I221" s="36"/>
      <c r="J221" s="50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</row>
    <row r="222" spans="1:67" ht="14.25" customHeight="1">
      <c r="A222" s="36"/>
      <c r="B222" s="36"/>
      <c r="C222" s="35"/>
      <c r="D222" s="35"/>
      <c r="E222" s="53"/>
      <c r="F222" s="36"/>
      <c r="G222" s="35"/>
      <c r="H222" s="36"/>
      <c r="I222" s="36"/>
      <c r="J222" s="50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</row>
    <row r="223" spans="1:67" ht="14.25" customHeight="1">
      <c r="A223" s="36"/>
      <c r="B223" s="36"/>
      <c r="C223" s="35"/>
      <c r="D223" s="35"/>
      <c r="E223" s="53"/>
      <c r="F223" s="36"/>
      <c r="G223" s="35"/>
      <c r="H223" s="36"/>
      <c r="I223" s="36"/>
      <c r="J223" s="50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</row>
    <row r="224" spans="1:67" ht="14.25" customHeight="1">
      <c r="A224" s="36"/>
      <c r="B224" s="36"/>
      <c r="C224" s="35"/>
      <c r="D224" s="35"/>
      <c r="E224" s="53"/>
      <c r="F224" s="36"/>
      <c r="G224" s="35"/>
      <c r="H224" s="36"/>
      <c r="I224" s="36"/>
      <c r="J224" s="50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</row>
    <row r="225" spans="1:67" ht="14.25" customHeight="1">
      <c r="A225" s="36"/>
      <c r="B225" s="36"/>
      <c r="C225" s="35"/>
      <c r="D225" s="35"/>
      <c r="E225" s="53"/>
      <c r="F225" s="36"/>
      <c r="G225" s="35"/>
      <c r="H225" s="36"/>
      <c r="I225" s="36"/>
      <c r="J225" s="50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</row>
    <row r="226" spans="1:67" ht="14.25" customHeight="1">
      <c r="A226" s="36"/>
      <c r="B226" s="36"/>
      <c r="C226" s="35"/>
      <c r="D226" s="35"/>
      <c r="E226" s="53"/>
      <c r="F226" s="36"/>
      <c r="G226" s="35"/>
      <c r="H226" s="36"/>
      <c r="I226" s="36"/>
      <c r="J226" s="50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</row>
    <row r="227" spans="1:67" ht="14.25" customHeight="1">
      <c r="A227" s="36"/>
      <c r="B227" s="36"/>
      <c r="C227" s="35"/>
      <c r="D227" s="35"/>
      <c r="E227" s="53"/>
      <c r="F227" s="36"/>
      <c r="G227" s="35"/>
      <c r="H227" s="36"/>
      <c r="I227" s="36"/>
      <c r="J227" s="50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</row>
    <row r="228" spans="1:67" ht="14.25" customHeight="1">
      <c r="A228" s="36"/>
      <c r="B228" s="36"/>
      <c r="C228" s="35"/>
      <c r="D228" s="35"/>
      <c r="E228" s="53"/>
      <c r="F228" s="36"/>
      <c r="G228" s="35"/>
      <c r="H228" s="36"/>
      <c r="I228" s="36"/>
      <c r="J228" s="50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</row>
    <row r="229" spans="1:67" ht="14.25" customHeight="1">
      <c r="A229" s="36"/>
      <c r="B229" s="36"/>
      <c r="C229" s="35"/>
      <c r="D229" s="35"/>
      <c r="E229" s="53"/>
      <c r="F229" s="36"/>
      <c r="G229" s="35"/>
      <c r="H229" s="36"/>
      <c r="I229" s="36"/>
      <c r="J229" s="50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</row>
    <row r="230" spans="1:67" ht="14.25" customHeight="1">
      <c r="A230" s="36"/>
      <c r="B230" s="36"/>
      <c r="C230" s="35"/>
      <c r="D230" s="35"/>
      <c r="E230" s="53"/>
      <c r="F230" s="36"/>
      <c r="G230" s="35"/>
      <c r="H230" s="36"/>
      <c r="I230" s="36"/>
      <c r="J230" s="50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</row>
    <row r="231" spans="1:67" ht="14.25" customHeight="1">
      <c r="A231" s="36"/>
      <c r="B231" s="36"/>
      <c r="C231" s="35"/>
      <c r="D231" s="35"/>
      <c r="E231" s="53"/>
      <c r="F231" s="36"/>
      <c r="G231" s="35"/>
      <c r="H231" s="36"/>
      <c r="I231" s="36"/>
      <c r="J231" s="50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</row>
    <row r="232" spans="1:67" ht="14.25" customHeight="1">
      <c r="A232" s="36"/>
      <c r="B232" s="36"/>
      <c r="C232" s="35"/>
      <c r="D232" s="35"/>
      <c r="E232" s="53"/>
      <c r="F232" s="36"/>
      <c r="G232" s="35"/>
      <c r="H232" s="36"/>
      <c r="I232" s="36"/>
      <c r="J232" s="50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</row>
    <row r="233" spans="1:67" ht="14.25" customHeight="1">
      <c r="A233" s="36"/>
      <c r="B233" s="36"/>
      <c r="C233" s="35"/>
      <c r="D233" s="35"/>
      <c r="E233" s="53"/>
      <c r="F233" s="36"/>
      <c r="G233" s="35"/>
      <c r="H233" s="36"/>
      <c r="I233" s="36"/>
      <c r="J233" s="50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</row>
    <row r="234" spans="1:67" ht="14.25" customHeight="1">
      <c r="A234" s="36"/>
      <c r="B234" s="36"/>
      <c r="C234" s="35"/>
      <c r="D234" s="35"/>
      <c r="E234" s="53"/>
      <c r="F234" s="36"/>
      <c r="G234" s="35"/>
      <c r="H234" s="36"/>
      <c r="I234" s="36"/>
      <c r="J234" s="50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</row>
    <row r="235" spans="1:67" ht="14.25" customHeight="1">
      <c r="A235" s="36"/>
      <c r="B235" s="36"/>
      <c r="C235" s="35"/>
      <c r="D235" s="35"/>
      <c r="E235" s="53"/>
      <c r="F235" s="36"/>
      <c r="G235" s="35"/>
      <c r="H235" s="36"/>
      <c r="I235" s="36"/>
      <c r="J235" s="50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</row>
    <row r="236" spans="1:67" ht="14.25" customHeight="1">
      <c r="A236" s="36"/>
      <c r="B236" s="36"/>
      <c r="C236" s="35"/>
      <c r="D236" s="35"/>
      <c r="E236" s="53"/>
      <c r="F236" s="36"/>
      <c r="G236" s="35"/>
      <c r="H236" s="36"/>
      <c r="I236" s="36"/>
      <c r="J236" s="50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</row>
    <row r="237" spans="1:67" ht="14.25" customHeight="1">
      <c r="A237" s="36"/>
      <c r="B237" s="36"/>
      <c r="C237" s="35"/>
      <c r="D237" s="35"/>
      <c r="E237" s="53"/>
      <c r="F237" s="36"/>
      <c r="G237" s="35"/>
      <c r="H237" s="36"/>
      <c r="I237" s="36"/>
      <c r="J237" s="50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</row>
    <row r="238" spans="1:67" ht="14.25" customHeight="1">
      <c r="A238" s="36"/>
      <c r="B238" s="36"/>
      <c r="C238" s="35"/>
      <c r="D238" s="35"/>
      <c r="E238" s="53"/>
      <c r="F238" s="36"/>
      <c r="G238" s="35"/>
      <c r="H238" s="36"/>
      <c r="I238" s="36"/>
      <c r="J238" s="50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</row>
    <row r="239" spans="1:67" ht="14.25" customHeight="1">
      <c r="A239" s="36"/>
      <c r="B239" s="36"/>
      <c r="C239" s="35"/>
      <c r="D239" s="35"/>
      <c r="E239" s="53"/>
      <c r="F239" s="36"/>
      <c r="G239" s="35"/>
      <c r="H239" s="36"/>
      <c r="I239" s="36"/>
      <c r="J239" s="50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</row>
    <row r="240" spans="1:6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G4:H4"/>
    <mergeCell ref="H8:I8"/>
  </mergeCells>
  <conditionalFormatting sqref="M8:BN84">
    <cfRule type="expression" dxfId="9" priority="1">
      <formula>AND(TODAY()&gt;=M$7,TODAY()&lt;N$7)</formula>
    </cfRule>
  </conditionalFormatting>
  <conditionalFormatting sqref="M10:BN11 M14:BN84">
    <cfRule type="expression" dxfId="8" priority="2" stopIfTrue="1">
      <formula>NOT(AND(MAX($K10,$H10)&gt;=M$7,MIN($J10,$G10)&lt;N$7))</formula>
    </cfRule>
    <cfRule type="expression" dxfId="7" priority="3">
      <formula>AND($H10&gt;=M$7,$G10&lt;N$7)</formula>
    </cfRule>
    <cfRule type="expression" dxfId="6" priority="4" stopIfTrue="1">
      <formula>AND($K10&gt;=M$7,$J10&lt;N$7)</formula>
    </cfRule>
  </conditionalFormatting>
  <conditionalFormatting sqref="M12:BN12">
    <cfRule type="expression" dxfId="5" priority="5" stopIfTrue="1">
      <formula>NOT(AND(MAX($K12,$H13)&gt;=M$7,MIN($J12,$G13)&lt;N$7))</formula>
    </cfRule>
    <cfRule type="expression" dxfId="4" priority="6">
      <formula>AND($H13&gt;=M$7,$G13&lt;N$7)</formula>
    </cfRule>
    <cfRule type="expression" dxfId="3" priority="7" stopIfTrue="1">
      <formula>AND($K12&gt;=M$7,$J12&lt;N$7)</formula>
    </cfRule>
  </conditionalFormatting>
  <conditionalFormatting sqref="M13:BN13">
    <cfRule type="expression" dxfId="2" priority="8" stopIfTrue="1">
      <formula>NOT(AND(MAX($K13,#REF!)&gt;=M$7,MIN($J13,#REF!)&lt;N$7))</formula>
    </cfRule>
    <cfRule type="expression" dxfId="1" priority="9">
      <formula>AND(#REF!&gt;=M$7,#REF!&lt;N$7)</formula>
    </cfRule>
    <cfRule type="expression" dxfId="0" priority="10" stopIfTrue="1">
      <formula>AND($K13&gt;=M$7,$J13&lt;N$7)</formula>
    </cfRule>
  </conditionalFormatting>
  <dataValidations count="1">
    <dataValidation type="list" allowBlank="1" showErrorMessage="1" sqref="G6" xr:uid="{00000000-0002-0000-0400-000000000000}">
      <formula1>"Daily,Weekly,Monthly,Quarterly"</formula1>
    </dataValidation>
  </dataValidations>
  <pageMargins left="0.35" right="0.35" top="0.35" bottom="0.5" header="0" footer="0"/>
  <pageSetup scale="75" orientation="landscape"/>
  <headerFooter>
    <oddFooter>&amp;CTrang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Thiết kế CSDL</vt:lpstr>
      <vt:lpstr>Dữ liệu mẫu</vt:lpstr>
      <vt:lpstr>Công việc thực hiện</vt:lpstr>
      <vt:lpstr>'Thiết kế CSDL'!_Toc217835647</vt:lpstr>
      <vt:lpstr>'Thiết kế CSDL'!_Toc217835648</vt:lpstr>
      <vt:lpstr>'Thiết kế CSDL'!_Toc217835649</vt:lpstr>
      <vt:lpstr>'Thiết kế CSDL'!_Toc217835650</vt:lpstr>
      <vt:lpstr>'Thiết kế CSDL'!_Toc217835651</vt:lpstr>
      <vt:lpstr>'Thiết kế CSDL'!_Toc217835652</vt:lpstr>
      <vt:lpstr>'Thiết kế CSDL'!_Toc217835653</vt:lpstr>
      <vt:lpstr>'Thiết kế CSDL'!_Toc217835654</vt:lpstr>
      <vt:lpstr>'Thiết kế CSDL'!_Toc217835656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 Trinh</dc:creator>
  <cp:lastModifiedBy>DinhDC</cp:lastModifiedBy>
  <dcterms:created xsi:type="dcterms:W3CDTF">2018-01-10T07:30:28Z</dcterms:created>
  <dcterms:modified xsi:type="dcterms:W3CDTF">2026-01-18T14:20:47Z</dcterms:modified>
</cp:coreProperties>
</file>