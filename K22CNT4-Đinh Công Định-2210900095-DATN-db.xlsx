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DinhDC\Documents\DATN\"/>
    </mc:Choice>
  </mc:AlternateContent>
  <xr:revisionPtr revIDLastSave="0" documentId="13_ncr:1_{013152FD-7822-4886-9F1A-DAA6FDFE5BE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hiết kế CSDL" sheetId="4" r:id="rId1"/>
    <sheet name="Dữ liệu mẫu" sheetId="9" r:id="rId2"/>
    <sheet name="Công việc thực hiện" sheetId="5" r:id="rId3"/>
  </sheets>
  <definedNames>
    <definedName name="nextDate">#REF!</definedName>
    <definedName name="pEnd">#REF!</definedName>
    <definedName name="thisDate">#REF!</definedName>
    <definedName name="valuevx">42.314159</definedName>
    <definedName name="vertex42_copyright">"© 2017 Vertex42 LLC"</definedName>
    <definedName name="vertex42_id">"project-planner.xlsx"</definedName>
    <definedName name="vertex42_title">"Project Planner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2" roundtripDataChecksum="mMOc0LnR3xAd2l+giRZPxF9ZKWf4NBXgcSUNrqA3M0g="/>
    </ext>
  </extLst>
</workbook>
</file>

<file path=xl/calcChain.xml><?xml version="1.0" encoding="utf-8"?>
<calcChain xmlns="http://schemas.openxmlformats.org/spreadsheetml/2006/main">
  <c r="G14" i="5" l="1"/>
  <c r="G13" i="5"/>
  <c r="G11" i="5"/>
  <c r="H13" i="5"/>
  <c r="G5" i="5"/>
  <c r="H23" i="5"/>
  <c r="G25" i="5" s="1"/>
  <c r="H25" i="5" s="1"/>
  <c r="G26" i="5" s="1"/>
  <c r="H26" i="5" s="1"/>
  <c r="G27" i="5" s="1"/>
  <c r="H27" i="5" s="1"/>
  <c r="G28" i="5" s="1"/>
  <c r="H28" i="5" s="1"/>
  <c r="G29" i="5" s="1"/>
  <c r="H29" i="5" s="1"/>
  <c r="G30" i="5" s="1"/>
  <c r="H30" i="5" s="1"/>
  <c r="G31" i="5" s="1"/>
  <c r="H31" i="5" s="1"/>
  <c r="G32" i="5" s="1"/>
  <c r="H32" i="5" s="1"/>
  <c r="G33" i="5" s="1"/>
  <c r="H33" i="5" s="1"/>
  <c r="G34" i="5" s="1"/>
  <c r="H34" i="5" s="1"/>
  <c r="G35" i="5" s="1"/>
  <c r="H35" i="5" s="1"/>
  <c r="G36" i="5" s="1"/>
  <c r="H36" i="5" s="1"/>
  <c r="G37" i="5" s="1"/>
  <c r="H37" i="5" s="1"/>
  <c r="G38" i="5" s="1"/>
  <c r="H38" i="5" s="1"/>
  <c r="G39" i="5" s="1"/>
  <c r="L12" i="5"/>
  <c r="L11" i="5"/>
  <c r="H14" i="5"/>
  <c r="G15" i="5" s="1"/>
  <c r="H15" i="5" s="1"/>
  <c r="G16" i="5" s="1"/>
  <c r="H16" i="5" s="1"/>
  <c r="G17" i="5" s="1"/>
  <c r="H17" i="5" s="1"/>
  <c r="G18" i="5" s="1"/>
  <c r="H18" i="5" s="1"/>
  <c r="G19" i="5" s="1"/>
  <c r="H19" i="5" s="1"/>
  <c r="G20" i="5" s="1"/>
  <c r="H20" i="5" s="1"/>
  <c r="G21" i="5" s="1"/>
  <c r="H21" i="5" s="1"/>
  <c r="G22" i="5" s="1"/>
  <c r="H22" i="5" s="1"/>
  <c r="L10" i="5"/>
  <c r="M9" i="5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AG9" i="5" s="1"/>
  <c r="AH9" i="5" s="1"/>
  <c r="AI9" i="5" s="1"/>
  <c r="AJ9" i="5" s="1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W9" i="5" s="1"/>
  <c r="AX9" i="5" s="1"/>
  <c r="AY9" i="5" s="1"/>
  <c r="AZ9" i="5" s="1"/>
  <c r="BA9" i="5" s="1"/>
  <c r="BB9" i="5" s="1"/>
  <c r="BC9" i="5" s="1"/>
  <c r="BD9" i="5" s="1"/>
  <c r="BE9" i="5" s="1"/>
  <c r="BF9" i="5" s="1"/>
  <c r="BG9" i="5" s="1"/>
  <c r="BH9" i="5" s="1"/>
  <c r="BI9" i="5" s="1"/>
  <c r="BJ9" i="5" s="1"/>
  <c r="BK9" i="5" s="1"/>
  <c r="BL9" i="5" s="1"/>
  <c r="BM9" i="5" s="1"/>
  <c r="BN9" i="5" s="1"/>
  <c r="M7" i="5"/>
  <c r="M8" i="5" s="1"/>
  <c r="G3" i="4"/>
  <c r="H11" i="5" l="1"/>
  <c r="N7" i="5"/>
  <c r="N8" i="5" l="1"/>
  <c r="O7" i="5"/>
  <c r="P7" i="5" l="1"/>
  <c r="O8" i="5"/>
  <c r="P8" i="5" l="1"/>
  <c r="Q7" i="5"/>
  <c r="Q8" i="5" l="1"/>
  <c r="R7" i="5"/>
  <c r="S7" i="5" l="1"/>
  <c r="R8" i="5"/>
  <c r="T7" i="5" l="1"/>
  <c r="S8" i="5"/>
  <c r="U7" i="5" l="1"/>
  <c r="T8" i="5"/>
  <c r="V7" i="5" l="1"/>
  <c r="U8" i="5"/>
  <c r="W7" i="5" l="1"/>
  <c r="V8" i="5"/>
  <c r="X7" i="5" l="1"/>
  <c r="W8" i="5"/>
  <c r="X8" i="5" l="1"/>
  <c r="Y7" i="5"/>
  <c r="Y8" i="5" l="1"/>
  <c r="Z7" i="5"/>
  <c r="Z8" i="5" l="1"/>
  <c r="AA7" i="5"/>
  <c r="AA8" i="5" l="1"/>
  <c r="AB7" i="5"/>
  <c r="AC7" i="5" l="1"/>
  <c r="AB8" i="5"/>
  <c r="AD7" i="5" l="1"/>
  <c r="AC8" i="5"/>
  <c r="AD8" i="5" l="1"/>
  <c r="AE7" i="5"/>
  <c r="AE8" i="5" l="1"/>
  <c r="AF7" i="5"/>
  <c r="AF8" i="5" l="1"/>
  <c r="AG7" i="5"/>
  <c r="AG8" i="5" l="1"/>
  <c r="AH7" i="5"/>
  <c r="AH8" i="5" l="1"/>
  <c r="AI7" i="5"/>
  <c r="AJ7" i="5" l="1"/>
  <c r="AI8" i="5"/>
  <c r="AK7" i="5" l="1"/>
  <c r="AJ8" i="5"/>
  <c r="AL7" i="5" l="1"/>
  <c r="AK8" i="5"/>
  <c r="AM7" i="5" l="1"/>
  <c r="AL8" i="5"/>
  <c r="AN7" i="5" l="1"/>
  <c r="AM8" i="5"/>
  <c r="AN8" i="5" l="1"/>
  <c r="AO7" i="5"/>
  <c r="AO8" i="5" l="1"/>
  <c r="AP7" i="5"/>
  <c r="AP8" i="5" l="1"/>
  <c r="AQ7" i="5"/>
  <c r="AQ8" i="5" l="1"/>
  <c r="AR7" i="5"/>
  <c r="AR8" i="5" l="1"/>
  <c r="AS7" i="5"/>
  <c r="AS8" i="5" l="1"/>
  <c r="AT7" i="5"/>
  <c r="AT8" i="5" l="1"/>
  <c r="AU7" i="5"/>
  <c r="AV7" i="5" l="1"/>
  <c r="AU8" i="5"/>
  <c r="AV8" i="5" l="1"/>
  <c r="AW7" i="5"/>
  <c r="AW8" i="5" l="1"/>
  <c r="AX7" i="5"/>
  <c r="AX8" i="5" l="1"/>
  <c r="AY7" i="5"/>
  <c r="AZ7" i="5" l="1"/>
  <c r="AY8" i="5"/>
  <c r="BA7" i="5" l="1"/>
  <c r="AZ8" i="5"/>
  <c r="BB7" i="5" l="1"/>
  <c r="BA8" i="5"/>
  <c r="BC7" i="5" l="1"/>
  <c r="BB8" i="5"/>
  <c r="BD7" i="5" l="1"/>
  <c r="BC8" i="5"/>
  <c r="BD8" i="5" l="1"/>
  <c r="BE7" i="5"/>
  <c r="BE8" i="5" l="1"/>
  <c r="BF7" i="5"/>
  <c r="BG7" i="5" l="1"/>
  <c r="BF8" i="5"/>
  <c r="BH7" i="5" l="1"/>
  <c r="BG8" i="5"/>
  <c r="BI7" i="5" l="1"/>
  <c r="BH8" i="5"/>
  <c r="BI8" i="5" l="1"/>
  <c r="BJ7" i="5"/>
  <c r="BJ8" i="5" l="1"/>
  <c r="BK7" i="5"/>
  <c r="BK8" i="5" l="1"/>
  <c r="BL7" i="5"/>
  <c r="BL8" i="5" l="1"/>
  <c r="BM7" i="5"/>
  <c r="BM8" i="5" l="1"/>
  <c r="BN7" i="5"/>
  <c r="BO7" i="5" l="1"/>
  <c r="BO8" i="5" s="1"/>
  <c r="BN8" i="5"/>
</calcChain>
</file>

<file path=xl/sharedStrings.xml><?xml version="1.0" encoding="utf-8"?>
<sst xmlns="http://schemas.openxmlformats.org/spreadsheetml/2006/main" count="458" uniqueCount="249">
  <si>
    <t>[42]</t>
  </si>
  <si>
    <t>Sinh viên thực hiện</t>
  </si>
  <si>
    <t>Bắt đầu</t>
  </si>
  <si>
    <t>Mã số</t>
  </si>
  <si>
    <t>Kết thúc</t>
  </si>
  <si>
    <t>Khóa</t>
  </si>
  <si>
    <t>Giảng viên hướng dẫn</t>
  </si>
  <si>
    <t>Ths. Trịnh Văn Chung</t>
  </si>
  <si>
    <t>Mốc Milestone chính</t>
  </si>
  <si>
    <t>Ngày</t>
  </si>
  <si>
    <t>Lập kế hoạch</t>
  </si>
  <si>
    <t>Mô tả bài toán</t>
  </si>
  <si>
    <t>Ngày bắt đầu</t>
  </si>
  <si>
    <t>Phân tích yêu cầu chức năng</t>
  </si>
  <si>
    <t>Thiết kế cơ sở dữ liệu</t>
  </si>
  <si>
    <t>Hiển thị theo</t>
  </si>
  <si>
    <t>Daily</t>
  </si>
  <si>
    <t xml:space="preserve">Xây dựng trang quản trị </t>
  </si>
  <si>
    <t>Mã</t>
  </si>
  <si>
    <t>Display Period:</t>
  </si>
  <si>
    <t>Xây dựng trang người dùng</t>
  </si>
  <si>
    <t>Mã nguồn (Link GitHub)</t>
  </si>
  <si>
    <t>WBS</t>
  </si>
  <si>
    <t>CÔNG VIỆC</t>
  </si>
  <si>
    <t>CHỦ TRÌ</t>
  </si>
  <si>
    <t>PHỐI HỢP</t>
  </si>
  <si>
    <t>NỘI DUNG</t>
  </si>
  <si>
    <t>TIẾN ĐỘ</t>
  </si>
  <si>
    <t>DỰ KIẾN BẮT ĐẦU</t>
  </si>
  <si>
    <t>DỰ KIẾN KẾT THÚC</t>
  </si>
  <si>
    <t>SỐ NGÀY DỰ KIẾN</t>
  </si>
  <si>
    <t>NGÀY BẮT ĐẦU THỰC TẾ</t>
  </si>
  <si>
    <t>NGÀY KẾT THÚC THỰC TẾ</t>
  </si>
  <si>
    <t>SỐ NGÀY THỰC TẾ</t>
  </si>
  <si>
    <t>Đinh Công Định</t>
  </si>
  <si>
    <t>K22CNT3</t>
  </si>
  <si>
    <t xml:space="preserve">ĐỀ TÀI:  XÂY DỰNG WEBSITE IFIXZONE 
(LINH KIỆN &amp; DỤNG CỤ SỬA CHỮA ĐIỆN TỬ ) </t>
  </si>
  <si>
    <t>ĐỀ TÀI: XÂY DỰNG WEBSITE IFIXZONE 
(LINH KIỆN &amp; DỤNG CỤ SỬA CHỮA ĐIỆN TỬ )</t>
  </si>
  <si>
    <t>Bảng Users (Người dùng hệ thống)</t>
  </si>
  <si>
    <t>Tên cột</t>
  </si>
  <si>
    <t>Kiểu dữ liệu</t>
  </si>
  <si>
    <t>Ràng buộc</t>
  </si>
  <si>
    <t>Mô tả</t>
  </si>
  <si>
    <t>UserID</t>
  </si>
  <si>
    <t>int</t>
  </si>
  <si>
    <t>Primary Key, Identity</t>
  </si>
  <si>
    <t>Mã người dùng</t>
  </si>
  <si>
    <t>Username</t>
  </si>
  <si>
    <t>nvarchar(50)</t>
  </si>
  <si>
    <t>Unique, Not Null</t>
  </si>
  <si>
    <t>Tên đăng nhập</t>
  </si>
  <si>
    <t>Password</t>
  </si>
  <si>
    <t>nvarchar(100)</t>
  </si>
  <si>
    <t>Not Null</t>
  </si>
  <si>
    <t>Mật khẩu</t>
  </si>
  <si>
    <t>FullName</t>
  </si>
  <si>
    <t>Họ tên</t>
  </si>
  <si>
    <t>Email</t>
  </si>
  <si>
    <t>Địa chỉ email</t>
  </si>
  <si>
    <t>Phone</t>
  </si>
  <si>
    <t>nvarchar(20)</t>
  </si>
  <si>
    <t>Số điện thoại</t>
  </si>
  <si>
    <t>Address</t>
  </si>
  <si>
    <t>nvarchar(255)</t>
  </si>
  <si>
    <t>Địa chỉ liên hệ</t>
  </si>
  <si>
    <t>Role</t>
  </si>
  <si>
    <t>Default = ‘Customer’</t>
  </si>
  <si>
    <t>Vai trò: Admin / Customer</t>
  </si>
  <si>
    <t>CreatedAt</t>
  </si>
  <si>
    <t>datetime</t>
  </si>
  <si>
    <t>Default(GetDate())</t>
  </si>
  <si>
    <t>Ngày tạo tài khoản</t>
  </si>
  <si>
    <t>Status</t>
  </si>
  <si>
    <t>Default = ‘Active’</t>
  </si>
  <si>
    <t>Trạng thái tài khoản</t>
  </si>
  <si>
    <t>CategoryID</t>
  </si>
  <si>
    <t>Mã danh mục</t>
  </si>
  <si>
    <t>CategoryName</t>
  </si>
  <si>
    <t>Tên danh mục</t>
  </si>
  <si>
    <t>ParentID</t>
  </si>
  <si>
    <t>Danh mục cha (nếu có)</t>
  </si>
  <si>
    <t>Bảng Products (Sản phẩm)</t>
  </si>
  <si>
    <t>ProductID</t>
  </si>
  <si>
    <t>Mã sản phẩm</t>
  </si>
  <si>
    <t>ProductName</t>
  </si>
  <si>
    <t>nvarchar(200)</t>
  </si>
  <si>
    <t>Tên sản phẩm</t>
  </si>
  <si>
    <t>Foreign Key → Categories</t>
  </si>
  <si>
    <t>Price</t>
  </si>
  <si>
    <t>decimal(18,2)</t>
  </si>
  <si>
    <t>Giá bán</t>
  </si>
  <si>
    <t>Quantity</t>
  </si>
  <si>
    <t>Số lượng tồn</t>
  </si>
  <si>
    <t>Tình trạng sản phẩm</t>
  </si>
  <si>
    <t>MainImage</t>
  </si>
  <si>
    <t>Ảnh đại diện</t>
  </si>
  <si>
    <t>Description</t>
  </si>
  <si>
    <t>nvarchar(MAX)</t>
  </si>
  <si>
    <t>Mô tả chi tiết</t>
  </si>
  <si>
    <t>Ngày thêm sản phẩm</t>
  </si>
  <si>
    <t>CartID</t>
  </si>
  <si>
    <t>Mã giỏ hàng</t>
  </si>
  <si>
    <t>FK → Users</t>
  </si>
  <si>
    <t>Người dùng</t>
  </si>
  <si>
    <t>FK → Products</t>
  </si>
  <si>
    <t>Sản phẩm</t>
  </si>
  <si>
    <t>Số lượng</t>
  </si>
  <si>
    <t>AddedAt</t>
  </si>
  <si>
    <t>Ngày thêm vào giỏ</t>
  </si>
  <si>
    <t>Bảng Orders (Đơn hàng)</t>
  </si>
  <si>
    <t>OrderID</t>
  </si>
  <si>
    <t>Mã đơn hàng</t>
  </si>
  <si>
    <t>OrderCode</t>
  </si>
  <si>
    <t>Mã đơn (hiển thị)</t>
  </si>
  <si>
    <t>Khách hàng đặt</t>
  </si>
  <si>
    <t>TotalAmount</t>
  </si>
  <si>
    <t>Tổng tiền</t>
  </si>
  <si>
    <t>nvarchar(30)</t>
  </si>
  <si>
    <t>Trạng thái đơn hàng</t>
  </si>
  <si>
    <t>OrderDate</t>
  </si>
  <si>
    <t>Ngày tạo đơn</t>
  </si>
  <si>
    <t>RecipientName</t>
  </si>
  <si>
    <t>Người nhận</t>
  </si>
  <si>
    <t>RecipientPhone</t>
  </si>
  <si>
    <t>SĐT người nhận</t>
  </si>
  <si>
    <t>RecipientAddress</t>
  </si>
  <si>
    <t>Địa chỉ giao hàng</t>
  </si>
  <si>
    <t>OrderDetails (Chi tiết đơn hàng)</t>
  </si>
  <si>
    <t>OrderDetailID</t>
  </si>
  <si>
    <t>Mã chi tiết</t>
  </si>
  <si>
    <t>FK → Orders</t>
  </si>
  <si>
    <t>Đơn hàng</t>
  </si>
  <si>
    <t>UnitPrice</t>
  </si>
  <si>
    <t>Đơn giá tại thời điểm bán</t>
  </si>
  <si>
    <t>OrderStatusHistory (Lịch sử trạng thái đơn hàng)</t>
  </si>
  <si>
    <t>HistoryID</t>
  </si>
  <si>
    <t>Mã lịch sử</t>
  </si>
  <si>
    <t>Trạng thái cập nhật</t>
  </si>
  <si>
    <t>UpdatedAt</t>
  </si>
  <si>
    <t>Thời gian cập nhật</t>
  </si>
  <si>
    <t>Reviews (Đánh giá sản phẩm)</t>
  </si>
  <si>
    <t>ReviewID</t>
  </si>
  <si>
    <t>Mã đánh giá</t>
  </si>
  <si>
    <t>Người đánh giá</t>
  </si>
  <si>
    <t>Rating</t>
  </si>
  <si>
    <t>Check 1–5</t>
  </si>
  <si>
    <t>Điểm đánh giá</t>
  </si>
  <si>
    <t>Comment</t>
  </si>
  <si>
    <t>nvarchar(500)</t>
  </si>
  <si>
    <t>Nội dung đánh giá</t>
  </si>
  <si>
    <t>Ngày đánh giá</t>
  </si>
  <si>
    <t>ProductSpecifications (Thông số kỹ thuật sản phẩm)</t>
  </si>
  <si>
    <t>SpecID</t>
  </si>
  <si>
    <t>Mã thông số</t>
  </si>
  <si>
    <t>SpecName</t>
  </si>
  <si>
    <t>Tên thông số</t>
  </si>
  <si>
    <t>SpecValue</t>
  </si>
  <si>
    <t>Giá trị thông số</t>
  </si>
  <si>
    <t>NotificationID</t>
  </si>
  <si>
    <t>Mã thông báo</t>
  </si>
  <si>
    <t>Content</t>
  </si>
  <si>
    <t>Nội dung thông báo</t>
  </si>
  <si>
    <t>IsRead</t>
  </si>
  <si>
    <t>bit</t>
  </si>
  <si>
    <t>Default(0)</t>
  </si>
  <si>
    <t>Đã đọc / Chưa đọc</t>
  </si>
  <si>
    <t>Thời gian tạo</t>
  </si>
  <si>
    <t>View View_Statistics (Thống kê doanh thu)</t>
  </si>
  <si>
    <t>Trường dữ liệu</t>
  </si>
  <si>
    <t>OrderDay</t>
  </si>
  <si>
    <t>Ngày phát sinh đơn hàng</t>
  </si>
  <si>
    <t>TotalOrders</t>
  </si>
  <si>
    <t>Tổng số lượng đơn trong ngày</t>
  </si>
  <si>
    <t>Revenue</t>
  </si>
  <si>
    <t>Tổng doanh thu theo ngày</t>
  </si>
  <si>
    <t>Bảng Thông báo</t>
  </si>
  <si>
    <t>Bảng Cart (Giỏ hàng)</t>
  </si>
  <si>
    <t>Bảng Categories (Danh mục sản phẩm)</t>
  </si>
  <si>
    <t>Bảng: Users</t>
  </si>
  <si>
    <t>admin</t>
  </si>
  <si>
    <t>Quản trị</t>
  </si>
  <si>
    <t>admin@ifixzone.vn</t>
  </si>
  <si>
    <t>Admin</t>
  </si>
  <si>
    <t>Active</t>
  </si>
  <si>
    <t>user1</t>
  </si>
  <si>
    <t>Nguyễn Văn A</t>
  </si>
  <si>
    <t>a@gmail.com</t>
  </si>
  <si>
    <t>Customer</t>
  </si>
  <si>
    <t>user2</t>
  </si>
  <si>
    <t>Trần Văn B</t>
  </si>
  <si>
    <t>b@gmail.com</t>
  </si>
  <si>
    <t>user3</t>
  </si>
  <si>
    <t>Lê Văn C</t>
  </si>
  <si>
    <t>c@gmail.com</t>
  </si>
  <si>
    <t>user4</t>
  </si>
  <si>
    <t>Phạm Văn D</t>
  </si>
  <si>
    <t>d@gmail.com</t>
  </si>
  <si>
    <t>IC nguồn iPhone X</t>
  </si>
  <si>
    <t>Main iPhone 11</t>
  </si>
  <si>
    <t>Pin laptop Dell 5480</t>
  </si>
  <si>
    <t>Tua vít đa năng 24in1</t>
  </si>
  <si>
    <t>IC wifi iPhone 8</t>
  </si>
  <si>
    <t>Bảng: Products</t>
  </si>
  <si>
    <t>Bảng: Categories</t>
  </si>
  <si>
    <t>Linh kiện điện thoại</t>
  </si>
  <si>
    <t>NULL</t>
  </si>
  <si>
    <t>Linh kiện laptop</t>
  </si>
  <si>
    <t>Mainboard</t>
  </si>
  <si>
    <t>IC - Chip</t>
  </si>
  <si>
    <t>Dụng cụ sửa chữa</t>
  </si>
  <si>
    <t>Bảng: Cart</t>
  </si>
  <si>
    <t>Bảng: Orders</t>
  </si>
  <si>
    <t>OD001</t>
  </si>
  <si>
    <t>Hoàn thành</t>
  </si>
  <si>
    <t>Hà Nội</t>
  </si>
  <si>
    <t>OD002</t>
  </si>
  <si>
    <t>Đang xử lý</t>
  </si>
  <si>
    <t>Hải Phòng</t>
  </si>
  <si>
    <t>OD003</t>
  </si>
  <si>
    <t>Mới</t>
  </si>
  <si>
    <t>Đà Nẵng</t>
  </si>
  <si>
    <t>OD004</t>
  </si>
  <si>
    <t>HCM</t>
  </si>
  <si>
    <t>OD005</t>
  </si>
  <si>
    <t>Hủy</t>
  </si>
  <si>
    <t>Bảng: OrderDetails</t>
  </si>
  <si>
    <t>OrderStatusHistory</t>
  </si>
  <si>
    <t>Bảng: Notifications</t>
  </si>
  <si>
    <t>Đơn hàng OD001 đã hoàn thành</t>
  </si>
  <si>
    <t>Đơn hàng OD002 đang xử lý</t>
  </si>
  <si>
    <t>Đơn hàng OD003 mới tạo</t>
  </si>
  <si>
    <t>Đơn hàng OD004 hoàn thành</t>
  </si>
  <si>
    <t>Đơn hàng OD005 đã hủy</t>
  </si>
  <si>
    <t>Bảng: ProductSpecifications</t>
  </si>
  <si>
    <t>Loại IC</t>
  </si>
  <si>
    <t>IC nguồn</t>
  </si>
  <si>
    <t>Tình trạng</t>
  </si>
  <si>
    <t>Chính hãng</t>
  </si>
  <si>
    <t>Dung lượng</t>
  </si>
  <si>
    <t>4400mAh</t>
  </si>
  <si>
    <t>Số đầu vít</t>
  </si>
  <si>
    <t>Chuẩn IC</t>
  </si>
  <si>
    <t>QFN</t>
  </si>
  <si>
    <t>Bảng: Reviews</t>
  </si>
  <si>
    <t>Sản phẩm tốt</t>
  </si>
  <si>
    <t>Dùng ổn</t>
  </si>
  <si>
    <t>Rất hài lòng</t>
  </si>
  <si>
    <t>Giá hợp lý</t>
  </si>
  <si>
    <t>Nên mua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</si>
</sst>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,\ d/m/yyyy"/>
    <numFmt numFmtId="166" formatCode="_(* #,##0_);_(* \(#,##0\);_(* &quot;-&quot;??_);_(@_)"/>
    <numFmt numFmtId="167" formatCode="m/d/yy"/>
  </numFmts>
  <fonts count="50">
    <font>
      <sz val="11"/>
      <color theme="1"/>
      <name val="Calibri"/>
      <scheme val="minor"/>
    </font>
    <font>
      <b/>
      <sz val="14"/>
      <color rgb="FF002060"/>
      <name val="Times New Roman"/>
    </font>
    <font>
      <sz val="14"/>
      <color theme="1"/>
      <name val="Times New Roman"/>
    </font>
    <font>
      <sz val="14"/>
      <color rgb="FF7F7F7F"/>
      <name val="Times New Roman"/>
    </font>
    <font>
      <sz val="14"/>
      <color theme="0"/>
      <name val="Times New Roman"/>
    </font>
    <font>
      <b/>
      <sz val="14"/>
      <color theme="4"/>
      <name val="Times New Roman"/>
    </font>
    <font>
      <b/>
      <sz val="14"/>
      <color theme="1"/>
      <name val="Times New Roman"/>
    </font>
    <font>
      <b/>
      <sz val="14"/>
      <color rgb="FFC00000"/>
      <name val="Times New Roman"/>
    </font>
    <font>
      <sz val="11"/>
      <name val="Calibri"/>
    </font>
    <font>
      <sz val="13"/>
      <color theme="1"/>
      <name val="Times New Roman"/>
    </font>
    <font>
      <b/>
      <sz val="16"/>
      <color rgb="FF002060"/>
      <name val="Calibri"/>
    </font>
    <font>
      <sz val="10"/>
      <color theme="1"/>
      <name val="Calibri"/>
    </font>
    <font>
      <sz val="10"/>
      <color rgb="FF7F7F7F"/>
      <name val="Calibri"/>
    </font>
    <font>
      <sz val="11"/>
      <color theme="1"/>
      <name val="Calibri"/>
    </font>
    <font>
      <sz val="1"/>
      <color theme="0"/>
      <name val="Calibri"/>
    </font>
    <font>
      <b/>
      <sz val="16"/>
      <color theme="1"/>
      <name val="Calibri"/>
    </font>
    <font>
      <b/>
      <sz val="16"/>
      <color theme="4"/>
      <name val="Calibri"/>
    </font>
    <font>
      <b/>
      <sz val="12"/>
      <color theme="4"/>
      <name val="Calibri"/>
    </font>
    <font>
      <b/>
      <sz val="12"/>
      <color rgb="FFC00000"/>
      <name val="Calibri"/>
    </font>
    <font>
      <b/>
      <sz val="14"/>
      <color theme="4"/>
      <name val="Calibri"/>
    </font>
    <font>
      <b/>
      <sz val="10"/>
      <color theme="1"/>
      <name val="Calibri"/>
    </font>
    <font>
      <sz val="10"/>
      <color theme="0"/>
      <name val="Calibri"/>
    </font>
    <font>
      <sz val="11"/>
      <color theme="0"/>
      <name val="Calibri"/>
    </font>
    <font>
      <b/>
      <sz val="10"/>
      <color rgb="FFFF0000"/>
      <name val="Calibri"/>
    </font>
    <font>
      <sz val="10"/>
      <color rgb="FFFF0000"/>
      <name val="Calibri"/>
    </font>
    <font>
      <sz val="8"/>
      <color theme="1"/>
      <name val="Calibri"/>
    </font>
    <font>
      <b/>
      <sz val="10"/>
      <color theme="0"/>
      <name val="Calibri"/>
    </font>
    <font>
      <b/>
      <sz val="11"/>
      <color theme="1"/>
      <name val="Calibri"/>
    </font>
    <font>
      <u/>
      <sz val="11"/>
      <color theme="1"/>
      <name val="Calibri"/>
    </font>
    <font>
      <i/>
      <sz val="11"/>
      <color theme="1"/>
      <name val="Calibri"/>
    </font>
    <font>
      <sz val="11"/>
      <color rgb="FFFF0000"/>
      <name val="Calibri"/>
    </font>
    <font>
      <sz val="11"/>
      <color rgb="FFC00000"/>
      <name val="Calibri"/>
    </font>
    <font>
      <b/>
      <sz val="11"/>
      <color rgb="FFFF0000"/>
      <name val="Calibri"/>
    </font>
    <font>
      <b/>
      <i/>
      <sz val="11"/>
      <color rgb="FFFF0000"/>
      <name val="Calibri"/>
    </font>
    <font>
      <b/>
      <sz val="11"/>
      <color rgb="FF7F7F7F"/>
      <name val="Calibri"/>
    </font>
    <font>
      <u/>
      <sz val="10"/>
      <color rgb="FF7F7F7F"/>
      <name val="Calibri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1"/>
      <color theme="1"/>
      <name val="Calibri"/>
      <family val="2"/>
      <scheme val="minor"/>
    </font>
    <font>
      <sz val="13"/>
      <color rgb="FF000000"/>
      <name val="Times New Roman"/>
      <family val="1"/>
    </font>
    <font>
      <sz val="13"/>
      <color theme="1"/>
      <name val="Time s New Roman"/>
      <charset val="163"/>
    </font>
    <font>
      <b/>
      <sz val="13"/>
      <color theme="1"/>
      <name val="Time s New Roman"/>
      <charset val="163"/>
    </font>
    <font>
      <b/>
      <sz val="13"/>
      <color rgb="FF000000"/>
      <name val="Time s New Roman"/>
      <charset val="163"/>
    </font>
    <font>
      <b/>
      <sz val="12"/>
      <color theme="1"/>
      <name val="Time s New Roman"/>
      <charset val="163"/>
    </font>
    <font>
      <sz val="13"/>
      <color rgb="FF000000"/>
      <name val="Time s New Roman"/>
      <charset val="163"/>
    </font>
    <font>
      <sz val="11"/>
      <color theme="1"/>
      <name val="Time s New Roman"/>
      <charset val="163"/>
    </font>
    <font>
      <sz val="14"/>
      <color theme="1"/>
      <name val="Time s New Roman"/>
      <charset val="163"/>
    </font>
    <font>
      <b/>
      <sz val="11"/>
      <color theme="1"/>
      <name val="Time s New Roman"/>
      <charset val="163"/>
    </font>
    <font>
      <b/>
      <sz val="14"/>
      <color theme="1"/>
      <name val="Time s New Roman"/>
      <charset val="163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EEAF6"/>
        <bgColor rgb="FFDEEAF6"/>
      </patternFill>
    </fill>
    <fill>
      <patternFill patternType="solid">
        <fgColor theme="4"/>
        <bgColor theme="4"/>
      </patternFill>
    </fill>
    <fill>
      <patternFill patternType="solid">
        <fgColor rgb="FF7F7F7F"/>
        <bgColor rgb="FF7F7F7F"/>
      </patternFill>
    </fill>
    <fill>
      <patternFill patternType="solid">
        <fgColor rgb="FF9CC2E5"/>
        <bgColor rgb="FF9CC2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</fills>
  <borders count="4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8D8D8"/>
      </left>
      <right style="thin">
        <color rgb="FFD8D8D8"/>
      </right>
      <top style="medium">
        <color rgb="FFD8D8D8"/>
      </top>
      <bottom style="medium">
        <color rgb="FFD8D8D8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D8D8D8"/>
      </left>
      <right style="thin">
        <color rgb="FFD8D8D8"/>
      </right>
      <top style="thin">
        <color rgb="FFBFBFBF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A5A5A5"/>
      </top>
      <bottom/>
      <diagonal/>
    </border>
    <border>
      <left style="thin">
        <color rgb="FFD8D8D8"/>
      </left>
      <right style="thin">
        <color rgb="FFD8D8D8"/>
      </right>
      <top/>
      <bottom style="medium">
        <color rgb="FFD8D8D8"/>
      </bottom>
      <diagonal/>
    </border>
    <border>
      <left style="thin">
        <color rgb="FF000000"/>
      </left>
      <right style="thin">
        <color rgb="FFD8D8D8"/>
      </right>
      <top style="medium">
        <color rgb="FFD8D8D8"/>
      </top>
      <bottom style="medium">
        <color rgb="FFD8D8D8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 style="thin">
        <color rgb="FFD8D8D8"/>
      </left>
      <right style="thin">
        <color rgb="FF000000"/>
      </right>
      <top style="medium">
        <color rgb="FFD8D8D8"/>
      </top>
      <bottom style="medium">
        <color rgb="FFD8D8D8"/>
      </bottom>
      <diagonal/>
    </border>
    <border>
      <left/>
      <right style="thin">
        <color rgb="FFD8D8D8"/>
      </right>
      <top style="medium">
        <color rgb="FFD8D8D8"/>
      </top>
      <bottom style="medium">
        <color rgb="FFD8D8D8"/>
      </bottom>
      <diagonal/>
    </border>
    <border>
      <left/>
      <right/>
      <top style="medium">
        <color rgb="FFD8D8D8"/>
      </top>
      <bottom style="medium">
        <color rgb="FFD8D8D8"/>
      </bottom>
      <diagonal/>
    </border>
    <border>
      <left/>
      <right style="thin">
        <color rgb="FFD8D8D8"/>
      </right>
      <top style="medium">
        <color rgb="FFD8D8D8"/>
      </top>
      <bottom style="medium">
        <color rgb="FFD8D8D8"/>
      </bottom>
      <diagonal/>
    </border>
    <border>
      <left style="thin">
        <color rgb="FF000000"/>
      </left>
      <right style="thin">
        <color rgb="FFD8D8D8"/>
      </right>
      <top style="medium">
        <color rgb="FFD8D8D8"/>
      </top>
      <bottom/>
      <diagonal/>
    </border>
    <border>
      <left style="thin">
        <color rgb="FFD8D8D8"/>
      </left>
      <right style="thin">
        <color rgb="FFD8D8D8"/>
      </right>
      <top style="medium">
        <color rgb="FFD8D8D8"/>
      </top>
      <bottom/>
      <diagonal/>
    </border>
    <border>
      <left style="thin">
        <color rgb="FFD8D8D8"/>
      </left>
      <right style="thin">
        <color rgb="FF000000"/>
      </right>
      <top style="medium">
        <color rgb="FFD8D8D8"/>
      </top>
      <bottom/>
      <diagonal/>
    </border>
    <border>
      <left style="thin">
        <color rgb="FF000000"/>
      </left>
      <right style="thin">
        <color rgb="FFD8D8D8"/>
      </right>
      <top style="medium">
        <color rgb="FFD8D8D8"/>
      </top>
      <bottom style="thin">
        <color rgb="FF000000"/>
      </bottom>
      <diagonal/>
    </border>
    <border>
      <left style="thin">
        <color rgb="FFD8D8D8"/>
      </left>
      <right style="thin">
        <color rgb="FFD8D8D8"/>
      </right>
      <top style="medium">
        <color rgb="FFD8D8D8"/>
      </top>
      <bottom style="thin">
        <color rgb="FF000000"/>
      </bottom>
      <diagonal/>
    </border>
    <border>
      <left style="thin">
        <color rgb="FFD8D8D8"/>
      </left>
      <right style="thin">
        <color rgb="FF000000"/>
      </right>
      <top style="medium">
        <color rgb="FFD8D8D8"/>
      </top>
      <bottom style="thin">
        <color rgb="FF000000"/>
      </bottom>
      <diagonal/>
    </border>
    <border>
      <left/>
      <right/>
      <top style="medium">
        <color rgb="FFD8D8D8"/>
      </top>
      <bottom style="medium">
        <color rgb="FFD8D8D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49" fillId="0" borderId="0" applyNumberFormat="0" applyFill="0" applyBorder="0" applyAlignment="0" applyProtection="0"/>
  </cellStyleXfs>
  <cellXfs count="213">
    <xf numFmtId="0" fontId="0" fillId="0" borderId="0" xfId="0" applyFont="1" applyAlignme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5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right" vertical="center" wrapText="1"/>
    </xf>
    <xf numFmtId="164" fontId="2" fillId="0" borderId="2" xfId="0" applyNumberFormat="1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wrapText="1"/>
    </xf>
    <xf numFmtId="0" fontId="2" fillId="0" borderId="5" xfId="0" applyFont="1" applyBorder="1" applyAlignment="1">
      <alignment horizontal="right" vertical="center" wrapText="1"/>
    </xf>
    <xf numFmtId="164" fontId="2" fillId="0" borderId="5" xfId="0" applyNumberFormat="1" applyFont="1" applyBorder="1" applyAlignment="1">
      <alignment horizontal="center" vertical="center" wrapText="1"/>
    </xf>
    <xf numFmtId="14" fontId="5" fillId="0" borderId="5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wrapText="1"/>
    </xf>
    <xf numFmtId="0" fontId="2" fillId="0" borderId="5" xfId="0" applyFont="1" applyBorder="1"/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wrapText="1"/>
    </xf>
    <xf numFmtId="0" fontId="5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center" wrapText="1"/>
    </xf>
    <xf numFmtId="0" fontId="2" fillId="0" borderId="8" xfId="0" applyFont="1" applyBorder="1"/>
    <xf numFmtId="164" fontId="2" fillId="0" borderId="8" xfId="0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wrapText="1"/>
    </xf>
    <xf numFmtId="0" fontId="2" fillId="0" borderId="0" xfId="0" applyFont="1" applyAlignment="1">
      <alignment horizontal="left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vertical="center" wrapText="1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5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left" vertical="center" wrapText="1"/>
    </xf>
    <xf numFmtId="0" fontId="18" fillId="0" borderId="5" xfId="0" applyFont="1" applyBorder="1" applyAlignment="1">
      <alignment horizontal="right" vertical="center" wrapText="1"/>
    </xf>
    <xf numFmtId="0" fontId="19" fillId="0" borderId="0" xfId="0" applyFont="1" applyAlignment="1">
      <alignment horizontal="center" vertical="center" wrapText="1"/>
    </xf>
    <xf numFmtId="14" fontId="19" fillId="0" borderId="0" xfId="0" applyNumberFormat="1" applyFont="1" applyAlignment="1">
      <alignment horizontal="center" vertical="center" wrapText="1"/>
    </xf>
    <xf numFmtId="0" fontId="13" fillId="0" borderId="12" xfId="0" applyFont="1" applyBorder="1" applyAlignment="1">
      <alignment horizontal="left" vertical="center" wrapText="1"/>
    </xf>
    <xf numFmtId="0" fontId="20" fillId="0" borderId="0" xfId="0" applyFont="1" applyAlignment="1">
      <alignment horizontal="left" wrapText="1"/>
    </xf>
    <xf numFmtId="0" fontId="11" fillId="0" borderId="0" xfId="0" applyFont="1" applyAlignment="1">
      <alignment horizontal="right" vertical="center" wrapText="1"/>
    </xf>
    <xf numFmtId="0" fontId="13" fillId="0" borderId="0" xfId="0" applyFont="1" applyAlignment="1">
      <alignment horizontal="center" wrapText="1"/>
    </xf>
    <xf numFmtId="164" fontId="11" fillId="0" borderId="13" xfId="0" applyNumberFormat="1" applyFont="1" applyBorder="1" applyAlignment="1">
      <alignment horizontal="center" vertical="center" wrapText="1"/>
    </xf>
    <xf numFmtId="164" fontId="11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horizontal="left" wrapText="1"/>
    </xf>
    <xf numFmtId="0" fontId="11" fillId="0" borderId="13" xfId="0" applyFont="1" applyBorder="1" applyAlignment="1">
      <alignment horizontal="center" vertical="center" wrapText="1"/>
    </xf>
    <xf numFmtId="0" fontId="21" fillId="0" borderId="0" xfId="0" applyFont="1" applyAlignment="1">
      <alignment horizontal="center" wrapText="1"/>
    </xf>
    <xf numFmtId="0" fontId="21" fillId="0" borderId="0" xfId="0" applyFont="1" applyAlignment="1">
      <alignment horizontal="left" wrapText="1"/>
    </xf>
    <xf numFmtId="0" fontId="21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wrapText="1"/>
    </xf>
    <xf numFmtId="14" fontId="22" fillId="0" borderId="14" xfId="0" applyNumberFormat="1" applyFont="1" applyBorder="1" applyAlignment="1">
      <alignment wrapText="1"/>
    </xf>
    <xf numFmtId="14" fontId="20" fillId="0" borderId="0" xfId="0" applyNumberFormat="1" applyFont="1" applyAlignment="1">
      <alignment horizontal="center" vertical="center" wrapText="1"/>
    </xf>
    <xf numFmtId="0" fontId="23" fillId="0" borderId="0" xfId="0" applyFont="1" applyAlignment="1">
      <alignment wrapText="1"/>
    </xf>
    <xf numFmtId="14" fontId="23" fillId="0" borderId="0" xfId="0" applyNumberFormat="1" applyFont="1" applyAlignment="1">
      <alignment horizontal="center" vertical="center" wrapText="1"/>
    </xf>
    <xf numFmtId="14" fontId="25" fillId="3" borderId="17" xfId="0" applyNumberFormat="1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26" fillId="4" borderId="19" xfId="0" applyFont="1" applyFill="1" applyBorder="1" applyAlignment="1">
      <alignment horizontal="left" vertical="center" wrapText="1"/>
    </xf>
    <xf numFmtId="0" fontId="26" fillId="4" borderId="19" xfId="0" applyFont="1" applyFill="1" applyBorder="1" applyAlignment="1">
      <alignment horizontal="center" vertical="center" wrapText="1"/>
    </xf>
    <xf numFmtId="0" fontId="26" fillId="5" borderId="19" xfId="0" applyFont="1" applyFill="1" applyBorder="1" applyAlignment="1">
      <alignment horizontal="center" vertical="center" wrapText="1"/>
    </xf>
    <xf numFmtId="0" fontId="26" fillId="5" borderId="20" xfId="0" applyFont="1" applyFill="1" applyBorder="1" applyAlignment="1">
      <alignment horizontal="center" vertical="center" wrapText="1"/>
    </xf>
    <xf numFmtId="0" fontId="26" fillId="4" borderId="21" xfId="0" applyFont="1" applyFill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 shrinkToFit="1"/>
    </xf>
    <xf numFmtId="0" fontId="13" fillId="7" borderId="23" xfId="0" applyFont="1" applyFill="1" applyBorder="1" applyAlignment="1">
      <alignment horizontal="center" vertical="center" wrapText="1"/>
    </xf>
    <xf numFmtId="0" fontId="13" fillId="7" borderId="12" xfId="0" applyFont="1" applyFill="1" applyBorder="1" applyAlignment="1">
      <alignment horizontal="center" vertical="center" wrapText="1"/>
    </xf>
    <xf numFmtId="166" fontId="13" fillId="7" borderId="12" xfId="0" applyNumberFormat="1" applyFont="1" applyFill="1" applyBorder="1" applyAlignment="1">
      <alignment horizontal="left" vertical="center" wrapText="1"/>
    </xf>
    <xf numFmtId="9" fontId="13" fillId="7" borderId="12" xfId="0" applyNumberFormat="1" applyFont="1" applyFill="1" applyBorder="1" applyAlignment="1">
      <alignment horizontal="center" vertical="center" wrapText="1"/>
    </xf>
    <xf numFmtId="164" fontId="27" fillId="7" borderId="24" xfId="0" applyNumberFormat="1" applyFont="1" applyFill="1" applyBorder="1" applyAlignment="1">
      <alignment vertical="center" wrapText="1"/>
    </xf>
    <xf numFmtId="0" fontId="27" fillId="7" borderId="25" xfId="0" applyFont="1" applyFill="1" applyBorder="1" applyAlignment="1">
      <alignment horizontal="center" vertical="center" wrapText="1"/>
    </xf>
    <xf numFmtId="167" fontId="13" fillId="0" borderId="26" xfId="0" applyNumberFormat="1" applyFont="1" applyBorder="1" applyAlignment="1">
      <alignment horizontal="center" vertical="center" wrapText="1"/>
    </xf>
    <xf numFmtId="167" fontId="13" fillId="0" borderId="12" xfId="0" applyNumberFormat="1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27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7" fillId="3" borderId="23" xfId="0" applyFont="1" applyFill="1" applyBorder="1" applyAlignment="1">
      <alignment horizontal="center" vertical="center" wrapText="1"/>
    </xf>
    <xf numFmtId="0" fontId="27" fillId="3" borderId="12" xfId="0" applyFont="1" applyFill="1" applyBorder="1" applyAlignment="1">
      <alignment horizontal="left" vertical="center" wrapText="1"/>
    </xf>
    <xf numFmtId="0" fontId="27" fillId="3" borderId="12" xfId="0" applyFont="1" applyFill="1" applyBorder="1" applyAlignment="1">
      <alignment horizontal="center" vertical="center" wrapText="1"/>
    </xf>
    <xf numFmtId="166" fontId="27" fillId="3" borderId="12" xfId="0" applyNumberFormat="1" applyFont="1" applyFill="1" applyBorder="1" applyAlignment="1">
      <alignment horizontal="left" vertical="center" wrapText="1"/>
    </xf>
    <xf numFmtId="9" fontId="13" fillId="3" borderId="12" xfId="0" applyNumberFormat="1" applyFont="1" applyFill="1" applyBorder="1" applyAlignment="1">
      <alignment horizontal="center" vertical="center" wrapText="1"/>
    </xf>
    <xf numFmtId="164" fontId="27" fillId="3" borderId="24" xfId="0" applyNumberFormat="1" applyFont="1" applyFill="1" applyBorder="1" applyAlignment="1">
      <alignment vertical="center" wrapText="1"/>
    </xf>
    <xf numFmtId="0" fontId="27" fillId="3" borderId="25" xfId="0" applyFont="1" applyFill="1" applyBorder="1" applyAlignment="1">
      <alignment horizontal="center" vertical="center" wrapText="1"/>
    </xf>
    <xf numFmtId="14" fontId="13" fillId="3" borderId="28" xfId="0" applyNumberFormat="1" applyFont="1" applyFill="1" applyBorder="1" applyAlignment="1">
      <alignment horizontal="center" vertical="center" wrapText="1"/>
    </xf>
    <xf numFmtId="14" fontId="13" fillId="3" borderId="12" xfId="0" applyNumberFormat="1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left" vertical="center" wrapText="1"/>
    </xf>
    <xf numFmtId="0" fontId="27" fillId="0" borderId="12" xfId="0" applyFont="1" applyBorder="1" applyAlignment="1">
      <alignment horizontal="center" vertical="center" wrapText="1"/>
    </xf>
    <xf numFmtId="166" fontId="27" fillId="0" borderId="12" xfId="0" applyNumberFormat="1" applyFont="1" applyBorder="1" applyAlignment="1">
      <alignment horizontal="left" vertical="center" wrapText="1"/>
    </xf>
    <xf numFmtId="9" fontId="27" fillId="0" borderId="12" xfId="0" applyNumberFormat="1" applyFont="1" applyBorder="1" applyAlignment="1">
      <alignment horizontal="center" vertical="center" wrapText="1"/>
    </xf>
    <xf numFmtId="0" fontId="27" fillId="0" borderId="0" xfId="0" applyFont="1" applyAlignment="1">
      <alignment vertical="center" wrapText="1"/>
    </xf>
    <xf numFmtId="0" fontId="27" fillId="0" borderId="25" xfId="0" applyFont="1" applyBorder="1" applyAlignment="1">
      <alignment horizontal="center" vertical="center" wrapText="1"/>
    </xf>
    <xf numFmtId="14" fontId="27" fillId="0" borderId="26" xfId="0" applyNumberFormat="1" applyFont="1" applyBorder="1" applyAlignment="1">
      <alignment horizontal="center" vertical="center" wrapText="1"/>
    </xf>
    <xf numFmtId="14" fontId="27" fillId="0" borderId="12" xfId="0" applyNumberFormat="1" applyFont="1" applyBorder="1" applyAlignment="1">
      <alignment horizontal="center" vertical="center" wrapText="1"/>
    </xf>
    <xf numFmtId="0" fontId="27" fillId="0" borderId="27" xfId="0" applyFont="1" applyBorder="1" applyAlignment="1">
      <alignment vertical="center" wrapText="1"/>
    </xf>
    <xf numFmtId="0" fontId="13" fillId="0" borderId="23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left" vertical="center" wrapText="1"/>
    </xf>
    <xf numFmtId="166" fontId="13" fillId="0" borderId="12" xfId="0" applyNumberFormat="1" applyFont="1" applyBorder="1" applyAlignment="1">
      <alignment horizontal="left" vertical="center" wrapText="1"/>
    </xf>
    <xf numFmtId="9" fontId="13" fillId="0" borderId="12" xfId="0" applyNumberFormat="1" applyFont="1" applyBorder="1" applyAlignment="1">
      <alignment horizontal="center" vertical="center" wrapText="1"/>
    </xf>
    <xf numFmtId="164" fontId="27" fillId="8" borderId="24" xfId="0" applyNumberFormat="1" applyFont="1" applyFill="1" applyBorder="1" applyAlignment="1">
      <alignment vertical="center" wrapText="1"/>
    </xf>
    <xf numFmtId="0" fontId="13" fillId="0" borderId="25" xfId="0" applyFont="1" applyBorder="1" applyAlignment="1">
      <alignment horizontal="center" vertical="center" wrapText="1"/>
    </xf>
    <xf numFmtId="14" fontId="13" fillId="0" borderId="26" xfId="0" applyNumberFormat="1" applyFont="1" applyBorder="1" applyAlignment="1">
      <alignment horizontal="center" vertical="center" wrapText="1"/>
    </xf>
    <xf numFmtId="14" fontId="13" fillId="0" borderId="12" xfId="0" applyNumberFormat="1" applyFont="1" applyBorder="1" applyAlignment="1">
      <alignment horizontal="center" vertical="center" wrapText="1"/>
    </xf>
    <xf numFmtId="0" fontId="13" fillId="0" borderId="27" xfId="0" applyFont="1" applyBorder="1" applyAlignment="1">
      <alignment horizontal="right" vertical="center" wrapText="1"/>
    </xf>
    <xf numFmtId="164" fontId="13" fillId="8" borderId="24" xfId="0" applyNumberFormat="1" applyFont="1" applyFill="1" applyBorder="1" applyAlignment="1">
      <alignment vertical="center" wrapText="1"/>
    </xf>
    <xf numFmtId="0" fontId="27" fillId="0" borderId="27" xfId="0" applyFont="1" applyBorder="1" applyAlignment="1">
      <alignment horizontal="right" vertical="center" wrapText="1"/>
    </xf>
    <xf numFmtId="0" fontId="29" fillId="0" borderId="23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166" fontId="29" fillId="0" borderId="12" xfId="0" applyNumberFormat="1" applyFont="1" applyBorder="1" applyAlignment="1">
      <alignment horizontal="left" vertical="center" wrapText="1"/>
    </xf>
    <xf numFmtId="9" fontId="29" fillId="0" borderId="12" xfId="0" applyNumberFormat="1" applyFont="1" applyBorder="1" applyAlignment="1">
      <alignment horizontal="center" vertical="center" wrapText="1"/>
    </xf>
    <xf numFmtId="0" fontId="29" fillId="0" borderId="25" xfId="0" applyFont="1" applyBorder="1" applyAlignment="1">
      <alignment horizontal="center" vertical="center" wrapText="1"/>
    </xf>
    <xf numFmtId="14" fontId="29" fillId="0" borderId="26" xfId="0" applyNumberFormat="1" applyFont="1" applyBorder="1" applyAlignment="1">
      <alignment horizontal="center" vertical="center" wrapText="1"/>
    </xf>
    <xf numFmtId="14" fontId="29" fillId="0" borderId="12" xfId="0" applyNumberFormat="1" applyFont="1" applyBorder="1" applyAlignment="1">
      <alignment horizontal="center" vertical="center" wrapText="1"/>
    </xf>
    <xf numFmtId="0" fontId="29" fillId="0" borderId="27" xfId="0" applyFont="1" applyBorder="1" applyAlignment="1">
      <alignment vertical="center" wrapText="1"/>
    </xf>
    <xf numFmtId="0" fontId="29" fillId="0" borderId="0" xfId="0" applyFont="1" applyAlignment="1">
      <alignment vertical="center" wrapText="1"/>
    </xf>
    <xf numFmtId="164" fontId="29" fillId="8" borderId="24" xfId="0" applyNumberFormat="1" applyFont="1" applyFill="1" applyBorder="1" applyAlignment="1">
      <alignment vertical="center" wrapText="1"/>
    </xf>
    <xf numFmtId="166" fontId="27" fillId="3" borderId="12" xfId="0" applyNumberFormat="1" applyFont="1" applyFill="1" applyBorder="1" applyAlignment="1">
      <alignment horizontal="center" vertical="center" wrapText="1"/>
    </xf>
    <xf numFmtId="0" fontId="27" fillId="9" borderId="23" xfId="0" applyFont="1" applyFill="1" applyBorder="1" applyAlignment="1">
      <alignment horizontal="center" vertical="center" wrapText="1"/>
    </xf>
    <xf numFmtId="0" fontId="27" fillId="9" borderId="12" xfId="0" applyFont="1" applyFill="1" applyBorder="1" applyAlignment="1">
      <alignment horizontal="left" vertical="center" wrapText="1"/>
    </xf>
    <xf numFmtId="0" fontId="27" fillId="9" borderId="12" xfId="0" applyFont="1" applyFill="1" applyBorder="1" applyAlignment="1">
      <alignment horizontal="center" vertical="center" wrapText="1"/>
    </xf>
    <xf numFmtId="166" fontId="30" fillId="9" borderId="12" xfId="0" applyNumberFormat="1" applyFont="1" applyFill="1" applyBorder="1" applyAlignment="1">
      <alignment horizontal="left" vertical="center" wrapText="1"/>
    </xf>
    <xf numFmtId="9" fontId="13" fillId="9" borderId="12" xfId="0" applyNumberFormat="1" applyFont="1" applyFill="1" applyBorder="1" applyAlignment="1">
      <alignment horizontal="center" vertical="center" wrapText="1"/>
    </xf>
    <xf numFmtId="164" fontId="27" fillId="9" borderId="24" xfId="0" applyNumberFormat="1" applyFont="1" applyFill="1" applyBorder="1" applyAlignment="1">
      <alignment vertical="center" wrapText="1"/>
    </xf>
    <xf numFmtId="0" fontId="27" fillId="9" borderId="25" xfId="0" applyFont="1" applyFill="1" applyBorder="1" applyAlignment="1">
      <alignment horizontal="center" vertical="center" wrapText="1"/>
    </xf>
    <xf numFmtId="166" fontId="30" fillId="0" borderId="12" xfId="0" applyNumberFormat="1" applyFont="1" applyBorder="1" applyAlignment="1">
      <alignment horizontal="left" vertical="center" wrapText="1"/>
    </xf>
    <xf numFmtId="166" fontId="31" fillId="0" borderId="12" xfId="0" applyNumberFormat="1" applyFont="1" applyBorder="1" applyAlignment="1">
      <alignment horizontal="left" vertical="center" wrapText="1"/>
    </xf>
    <xf numFmtId="0" fontId="32" fillId="10" borderId="23" xfId="0" applyFont="1" applyFill="1" applyBorder="1" applyAlignment="1">
      <alignment horizontal="center" vertical="center" wrapText="1"/>
    </xf>
    <xf numFmtId="0" fontId="32" fillId="10" borderId="12" xfId="0" applyFont="1" applyFill="1" applyBorder="1" applyAlignment="1">
      <alignment horizontal="left" vertical="center" wrapText="1"/>
    </xf>
    <xf numFmtId="0" fontId="32" fillId="10" borderId="12" xfId="0" applyFont="1" applyFill="1" applyBorder="1" applyAlignment="1">
      <alignment horizontal="center" vertical="center" wrapText="1"/>
    </xf>
    <xf numFmtId="166" fontId="30" fillId="10" borderId="12" xfId="0" applyNumberFormat="1" applyFont="1" applyFill="1" applyBorder="1" applyAlignment="1">
      <alignment horizontal="left" vertical="center" wrapText="1"/>
    </xf>
    <xf numFmtId="9" fontId="30" fillId="10" borderId="12" xfId="0" applyNumberFormat="1" applyFont="1" applyFill="1" applyBorder="1" applyAlignment="1">
      <alignment horizontal="center" vertical="center" wrapText="1"/>
    </xf>
    <xf numFmtId="164" fontId="32" fillId="10" borderId="24" xfId="0" applyNumberFormat="1" applyFont="1" applyFill="1" applyBorder="1" applyAlignment="1">
      <alignment vertical="center" wrapText="1"/>
    </xf>
    <xf numFmtId="0" fontId="32" fillId="10" borderId="25" xfId="0" applyFont="1" applyFill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166" fontId="13" fillId="0" borderId="30" xfId="0" applyNumberFormat="1" applyFont="1" applyBorder="1" applyAlignment="1">
      <alignment horizontal="left" vertical="center" wrapText="1"/>
    </xf>
    <xf numFmtId="9" fontId="13" fillId="0" borderId="30" xfId="0" applyNumberFormat="1" applyFont="1" applyBorder="1" applyAlignment="1">
      <alignment horizontal="center" vertical="center" wrapText="1"/>
    </xf>
    <xf numFmtId="0" fontId="27" fillId="0" borderId="31" xfId="0" applyFont="1" applyBorder="1" applyAlignment="1">
      <alignment horizontal="center" vertical="center" wrapText="1"/>
    </xf>
    <xf numFmtId="0" fontId="32" fillId="10" borderId="32" xfId="0" applyFont="1" applyFill="1" applyBorder="1" applyAlignment="1">
      <alignment horizontal="center" vertical="center" wrapText="1"/>
    </xf>
    <xf numFmtId="0" fontId="32" fillId="10" borderId="33" xfId="0" applyFont="1" applyFill="1" applyBorder="1" applyAlignment="1">
      <alignment horizontal="left" vertical="center" wrapText="1"/>
    </xf>
    <xf numFmtId="0" fontId="33" fillId="10" borderId="33" xfId="0" applyFont="1" applyFill="1" applyBorder="1" applyAlignment="1">
      <alignment horizontal="center" vertical="center" wrapText="1"/>
    </xf>
    <xf numFmtId="166" fontId="33" fillId="10" borderId="33" xfId="0" applyNumberFormat="1" applyFont="1" applyFill="1" applyBorder="1" applyAlignment="1">
      <alignment horizontal="center" vertical="center" wrapText="1"/>
    </xf>
    <xf numFmtId="166" fontId="33" fillId="10" borderId="33" xfId="0" applyNumberFormat="1" applyFont="1" applyFill="1" applyBorder="1" applyAlignment="1">
      <alignment horizontal="left" vertical="center" wrapText="1"/>
    </xf>
    <xf numFmtId="9" fontId="32" fillId="10" borderId="33" xfId="0" applyNumberFormat="1" applyFont="1" applyFill="1" applyBorder="1" applyAlignment="1">
      <alignment horizontal="center" vertical="center" wrapText="1"/>
    </xf>
    <xf numFmtId="167" fontId="32" fillId="10" borderId="33" xfId="0" applyNumberFormat="1" applyFont="1" applyFill="1" applyBorder="1" applyAlignment="1">
      <alignment horizontal="center" vertical="center" wrapText="1"/>
    </xf>
    <xf numFmtId="0" fontId="32" fillId="10" borderId="34" xfId="0" applyFont="1" applyFill="1" applyBorder="1" applyAlignment="1">
      <alignment horizontal="center" vertical="center" wrapText="1"/>
    </xf>
    <xf numFmtId="167" fontId="34" fillId="2" borderId="28" xfId="0" applyNumberFormat="1" applyFont="1" applyFill="1" applyBorder="1" applyAlignment="1">
      <alignment horizontal="left" vertical="center" wrapText="1"/>
    </xf>
    <xf numFmtId="167" fontId="27" fillId="2" borderId="12" xfId="0" applyNumberFormat="1" applyFont="1" applyFill="1" applyBorder="1" applyAlignment="1">
      <alignment horizontal="center" vertical="center" wrapText="1"/>
    </xf>
    <xf numFmtId="0" fontId="27" fillId="2" borderId="12" xfId="0" applyFont="1" applyFill="1" applyBorder="1" applyAlignment="1">
      <alignment horizontal="center" vertical="center" wrapText="1"/>
    </xf>
    <xf numFmtId="0" fontId="27" fillId="2" borderId="35" xfId="0" applyFont="1" applyFill="1" applyBorder="1" applyAlignment="1">
      <alignment vertical="center" wrapText="1"/>
    </xf>
    <xf numFmtId="0" fontId="20" fillId="0" borderId="0" xfId="0" applyFont="1" applyAlignment="1">
      <alignment wrapText="1"/>
    </xf>
    <xf numFmtId="0" fontId="35" fillId="0" borderId="0" xfId="0" applyFont="1" applyAlignment="1">
      <alignment wrapText="1"/>
    </xf>
    <xf numFmtId="0" fontId="0" fillId="0" borderId="0" xfId="0" applyFont="1" applyAlignment="1"/>
    <xf numFmtId="0" fontId="38" fillId="0" borderId="0" xfId="0" applyFont="1" applyAlignment="1"/>
    <xf numFmtId="0" fontId="39" fillId="0" borderId="38" xfId="0" applyFont="1" applyBorder="1" applyAlignment="1">
      <alignment vertical="center" wrapText="1"/>
    </xf>
    <xf numFmtId="0" fontId="39" fillId="0" borderId="41" xfId="0" applyFont="1" applyBorder="1" applyAlignment="1">
      <alignment vertical="center" wrapText="1"/>
    </xf>
    <xf numFmtId="0" fontId="36" fillId="0" borderId="0" xfId="0" applyFont="1" applyAlignment="1"/>
    <xf numFmtId="0" fontId="40" fillId="0" borderId="42" xfId="0" applyFont="1" applyBorder="1" applyAlignment="1">
      <alignment horizontal="center" vertical="center"/>
    </xf>
    <xf numFmtId="0" fontId="41" fillId="0" borderId="5" xfId="0" applyFont="1" applyBorder="1" applyAlignment="1">
      <alignment horizontal="left" vertical="center"/>
    </xf>
    <xf numFmtId="0" fontId="40" fillId="0" borderId="5" xfId="0" applyFont="1" applyBorder="1" applyAlignment="1">
      <alignment horizontal="left" vertical="center" wrapText="1"/>
    </xf>
    <xf numFmtId="0" fontId="40" fillId="0" borderId="13" xfId="0" applyFont="1" applyBorder="1" applyAlignment="1">
      <alignment horizontal="center" vertical="center" wrapText="1"/>
    </xf>
    <xf numFmtId="0" fontId="42" fillId="0" borderId="37" xfId="0" applyFont="1" applyBorder="1" applyAlignment="1">
      <alignment horizontal="center" vertical="center" wrapText="1"/>
    </xf>
    <xf numFmtId="0" fontId="42" fillId="0" borderId="40" xfId="0" applyFont="1" applyBorder="1" applyAlignment="1">
      <alignment horizontal="center" vertical="center" wrapText="1"/>
    </xf>
    <xf numFmtId="0" fontId="40" fillId="0" borderId="5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43" fillId="0" borderId="40" xfId="0" applyFont="1" applyBorder="1" applyAlignment="1">
      <alignment horizontal="center" vertical="center" wrapText="1"/>
    </xf>
    <xf numFmtId="0" fontId="43" fillId="0" borderId="38" xfId="0" applyFont="1" applyBorder="1" applyAlignment="1">
      <alignment horizontal="center" vertical="center" wrapText="1"/>
    </xf>
    <xf numFmtId="0" fontId="43" fillId="0" borderId="41" xfId="0" applyFont="1" applyBorder="1" applyAlignment="1">
      <alignment horizontal="center" vertical="center" wrapText="1"/>
    </xf>
    <xf numFmtId="0" fontId="44" fillId="0" borderId="38" xfId="0" applyFont="1" applyBorder="1" applyAlignment="1">
      <alignment vertical="center" wrapText="1"/>
    </xf>
    <xf numFmtId="0" fontId="44" fillId="0" borderId="41" xfId="0" applyFont="1" applyBorder="1" applyAlignment="1">
      <alignment vertical="center" wrapText="1"/>
    </xf>
    <xf numFmtId="0" fontId="45" fillId="0" borderId="41" xfId="0" applyFont="1" applyBorder="1" applyAlignment="1">
      <alignment vertical="top" wrapText="1"/>
    </xf>
    <xf numFmtId="0" fontId="40" fillId="0" borderId="5" xfId="0" applyFont="1" applyBorder="1" applyAlignment="1">
      <alignment vertical="center"/>
    </xf>
    <xf numFmtId="0" fontId="40" fillId="0" borderId="5" xfId="0" applyFont="1" applyBorder="1" applyAlignment="1">
      <alignment vertical="center" wrapText="1"/>
    </xf>
    <xf numFmtId="0" fontId="41" fillId="0" borderId="37" xfId="0" applyFont="1" applyBorder="1" applyAlignment="1">
      <alignment horizontal="center" vertical="center" wrapText="1"/>
    </xf>
    <xf numFmtId="0" fontId="41" fillId="0" borderId="40" xfId="0" applyFont="1" applyBorder="1" applyAlignment="1">
      <alignment horizontal="center" vertical="center" wrapText="1"/>
    </xf>
    <xf numFmtId="0" fontId="41" fillId="0" borderId="38" xfId="0" applyFont="1" applyBorder="1" applyAlignment="1">
      <alignment horizontal="center" vertical="center" wrapText="1"/>
    </xf>
    <xf numFmtId="0" fontId="41" fillId="0" borderId="41" xfId="0" applyFont="1" applyBorder="1" applyAlignment="1">
      <alignment horizontal="center" vertical="center" wrapText="1"/>
    </xf>
    <xf numFmtId="0" fontId="46" fillId="0" borderId="0" xfId="0" applyFont="1" applyAlignment="1">
      <alignment wrapText="1"/>
    </xf>
    <xf numFmtId="0" fontId="46" fillId="0" borderId="0" xfId="0" applyFont="1" applyAlignment="1">
      <alignment horizontal="center" wrapText="1"/>
    </xf>
    <xf numFmtId="0" fontId="46" fillId="0" borderId="0" xfId="0" applyFont="1" applyAlignment="1">
      <alignment horizontal="left" wrapText="1"/>
    </xf>
    <xf numFmtId="0" fontId="47" fillId="0" borderId="0" xfId="0" applyFont="1" applyAlignment="1"/>
    <xf numFmtId="0" fontId="45" fillId="0" borderId="0" xfId="0" applyFont="1" applyAlignment="1"/>
    <xf numFmtId="0" fontId="41" fillId="0" borderId="0" xfId="0" applyFont="1" applyAlignment="1">
      <alignment horizontal="center" vertical="center"/>
    </xf>
    <xf numFmtId="0" fontId="48" fillId="0" borderId="0" xfId="0" applyFont="1" applyAlignment="1">
      <alignment wrapText="1"/>
    </xf>
    <xf numFmtId="0" fontId="48" fillId="0" borderId="0" xfId="0" applyFont="1" applyAlignment="1">
      <alignment horizontal="center" wrapText="1"/>
    </xf>
    <xf numFmtId="0" fontId="48" fillId="0" borderId="0" xfId="0" applyFont="1" applyAlignment="1"/>
    <xf numFmtId="0" fontId="41" fillId="0" borderId="0" xfId="0" applyFont="1" applyAlignment="1"/>
    <xf numFmtId="0" fontId="36" fillId="0" borderId="36" xfId="0" applyFont="1" applyBorder="1" applyAlignment="1">
      <alignment horizontal="center" vertical="center" wrapText="1"/>
    </xf>
    <xf numFmtId="0" fontId="36" fillId="0" borderId="39" xfId="0" applyFont="1" applyBorder="1" applyAlignment="1">
      <alignment horizontal="center" vertical="center" wrapText="1"/>
    </xf>
    <xf numFmtId="0" fontId="37" fillId="0" borderId="38" xfId="0" applyFont="1" applyBorder="1" applyAlignment="1">
      <alignment vertical="center" wrapText="1"/>
    </xf>
    <xf numFmtId="0" fontId="37" fillId="0" borderId="41" xfId="0" applyFont="1" applyBorder="1" applyAlignment="1">
      <alignment vertical="center" wrapText="1"/>
    </xf>
    <xf numFmtId="0" fontId="49" fillId="0" borderId="41" xfId="1" applyBorder="1" applyAlignment="1">
      <alignment vertical="center" wrapText="1"/>
    </xf>
    <xf numFmtId="14" fontId="37" fillId="0" borderId="41" xfId="0" applyNumberFormat="1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/>
    <xf numFmtId="0" fontId="8" fillId="0" borderId="11" xfId="0" applyFont="1" applyBorder="1"/>
    <xf numFmtId="0" fontId="43" fillId="0" borderId="37" xfId="0" applyFont="1" applyBorder="1" applyAlignment="1">
      <alignment horizontal="center" vertical="center" wrapText="1"/>
    </xf>
    <xf numFmtId="0" fontId="43" fillId="0" borderId="38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wrapText="1"/>
    </xf>
    <xf numFmtId="0" fontId="24" fillId="2" borderId="15" xfId="0" applyFont="1" applyFill="1" applyBorder="1" applyAlignment="1">
      <alignment horizontal="center" vertical="center" wrapText="1"/>
    </xf>
    <xf numFmtId="0" fontId="8" fillId="0" borderId="16" xfId="0" applyFont="1" applyBorder="1"/>
  </cellXfs>
  <cellStyles count="2">
    <cellStyle name="Hyperlink" xfId="1" builtinId="8"/>
    <cellStyle name="Normal" xfId="0" builtinId="0"/>
  </cellStyles>
  <dxfs count="10">
    <dxf>
      <fill>
        <patternFill patternType="solid">
          <fgColor rgb="FF3969AD"/>
          <bgColor rgb="FF3969AD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none"/>
      </fill>
      <border>
        <right style="thin">
          <color rgb="FFD8D8D8"/>
        </right>
      </border>
    </dxf>
    <dxf>
      <fill>
        <patternFill patternType="solid">
          <fgColor rgb="FF3969AD"/>
          <bgColor rgb="FF3969AD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none"/>
      </fill>
      <border>
        <right style="thin">
          <color rgb="FFD8D8D8"/>
        </right>
      </border>
    </dxf>
    <dxf>
      <fill>
        <patternFill patternType="solid">
          <fgColor rgb="FF3969AD"/>
          <bgColor rgb="FF3969AD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none"/>
      </fill>
      <border>
        <right style="thin">
          <color rgb="FFD8D8D8"/>
        </right>
      </border>
    </dxf>
    <dxf>
      <fill>
        <patternFill patternType="none"/>
      </fill>
      <border>
        <left style="thin">
          <color rgb="FFC00000"/>
        </left>
        <right style="thin">
          <color rgb="FFC00000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b@gmail.com" TargetMode="External"/><Relationship Id="rId2" Type="http://schemas.openxmlformats.org/officeDocument/2006/relationships/hyperlink" Target="mailto:a@gmail.com" TargetMode="External"/><Relationship Id="rId1" Type="http://schemas.openxmlformats.org/officeDocument/2006/relationships/hyperlink" Target="mailto:admin@ifixzone.vn" TargetMode="External"/><Relationship Id="rId5" Type="http://schemas.openxmlformats.org/officeDocument/2006/relationships/hyperlink" Target="mailto:d@gmail.com" TargetMode="External"/><Relationship Id="rId4" Type="http://schemas.openxmlformats.org/officeDocument/2006/relationships/hyperlink" Target="mailto:c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BO990"/>
  <sheetViews>
    <sheetView showGridLines="0" tabSelected="1" topLeftCell="A85" workbookViewId="0">
      <selection activeCell="C9" sqref="C9"/>
    </sheetView>
  </sheetViews>
  <sheetFormatPr defaultColWidth="14.44140625" defaultRowHeight="15" customHeight="1"/>
  <cols>
    <col min="1" max="1" width="6" customWidth="1"/>
    <col min="2" max="2" width="40.44140625" customWidth="1"/>
    <col min="3" max="3" width="27.6640625" customWidth="1"/>
    <col min="4" max="4" width="30.6640625" customWidth="1"/>
    <col min="5" max="5" width="19" customWidth="1"/>
    <col min="6" max="6" width="16.5546875" customWidth="1"/>
    <col min="7" max="7" width="19" customWidth="1"/>
    <col min="8" max="8" width="21.33203125" customWidth="1"/>
    <col min="9" max="9" width="14.109375" customWidth="1"/>
    <col min="10" max="10" width="4.6640625" customWidth="1"/>
    <col min="11" max="11" width="5.109375" customWidth="1"/>
    <col min="12" max="12" width="4.44140625" customWidth="1"/>
    <col min="13" max="13" width="5.109375" customWidth="1"/>
    <col min="14" max="22" width="3.44140625" customWidth="1"/>
    <col min="23" max="67" width="4" customWidth="1"/>
  </cols>
  <sheetData>
    <row r="1" spans="1:67" ht="48.75" customHeight="1">
      <c r="A1" s="204" t="s">
        <v>36</v>
      </c>
      <c r="B1" s="205"/>
      <c r="C1" s="205"/>
      <c r="D1" s="205"/>
      <c r="E1" s="205"/>
      <c r="F1" s="205"/>
      <c r="G1" s="205"/>
      <c r="H1" s="205"/>
      <c r="I1" s="205"/>
      <c r="J1" s="1"/>
      <c r="K1" s="2"/>
      <c r="L1" s="2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4" t="s">
        <v>0</v>
      </c>
      <c r="BJ1" s="2"/>
      <c r="BK1" s="2"/>
      <c r="BL1" s="2"/>
      <c r="BM1" s="2"/>
      <c r="BN1" s="2"/>
      <c r="BO1" s="2"/>
    </row>
    <row r="2" spans="1:67" ht="23.25" customHeight="1">
      <c r="A2" s="5">
        <v>1</v>
      </c>
      <c r="B2" s="6" t="s">
        <v>1</v>
      </c>
      <c r="C2" s="6" t="s">
        <v>34</v>
      </c>
      <c r="D2" s="7"/>
      <c r="E2" s="8" t="s">
        <v>2</v>
      </c>
      <c r="F2" s="9"/>
      <c r="G2" s="10">
        <v>45703</v>
      </c>
      <c r="H2" s="7"/>
      <c r="I2" s="11"/>
      <c r="J2" s="1"/>
      <c r="K2" s="2"/>
      <c r="L2" s="2"/>
      <c r="M2" s="3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4"/>
      <c r="BJ2" s="2"/>
      <c r="BK2" s="2"/>
      <c r="BL2" s="2"/>
      <c r="BM2" s="2"/>
      <c r="BN2" s="2"/>
      <c r="BO2" s="2"/>
    </row>
    <row r="3" spans="1:67" ht="21.75" customHeight="1">
      <c r="A3" s="12">
        <v>2</v>
      </c>
      <c r="B3" s="13" t="s">
        <v>3</v>
      </c>
      <c r="C3" s="14">
        <v>2210900095</v>
      </c>
      <c r="D3" s="15"/>
      <c r="E3" s="16" t="s">
        <v>4</v>
      </c>
      <c r="F3" s="17"/>
      <c r="G3" s="18">
        <f>G2+4</f>
        <v>45707</v>
      </c>
      <c r="H3" s="19"/>
      <c r="I3" s="20"/>
      <c r="J3" s="1"/>
      <c r="K3" s="2"/>
      <c r="L3" s="2"/>
      <c r="M3" s="3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4"/>
      <c r="BJ3" s="2"/>
      <c r="BK3" s="2"/>
      <c r="BL3" s="2"/>
      <c r="BM3" s="2"/>
      <c r="BN3" s="2"/>
      <c r="BO3" s="2"/>
    </row>
    <row r="4" spans="1:67" ht="17.25" customHeight="1">
      <c r="A4" s="12">
        <v>3</v>
      </c>
      <c r="B4" s="13" t="s">
        <v>5</v>
      </c>
      <c r="C4" s="14" t="s">
        <v>35</v>
      </c>
      <c r="D4" s="21"/>
      <c r="E4" s="22"/>
      <c r="F4" s="17"/>
      <c r="G4" s="23"/>
      <c r="H4" s="22"/>
      <c r="I4" s="24"/>
      <c r="J4" s="1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</row>
    <row r="5" spans="1:67" ht="19.5" customHeight="1">
      <c r="A5" s="25">
        <v>4</v>
      </c>
      <c r="B5" s="26" t="s">
        <v>6</v>
      </c>
      <c r="C5" s="27" t="s">
        <v>7</v>
      </c>
      <c r="D5" s="28"/>
      <c r="E5" s="29"/>
      <c r="F5" s="29"/>
      <c r="G5" s="29"/>
      <c r="H5" s="30"/>
      <c r="I5" s="31"/>
      <c r="J5" s="1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</row>
    <row r="6" spans="1:67" ht="14.25" customHeight="1">
      <c r="A6" s="2"/>
      <c r="B6" s="2"/>
      <c r="C6" s="1"/>
      <c r="D6" s="1"/>
      <c r="E6" s="32"/>
      <c r="F6" s="2"/>
      <c r="G6" s="1"/>
      <c r="H6" s="2"/>
      <c r="I6" s="2"/>
      <c r="J6" s="1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</row>
    <row r="7" spans="1:67" ht="25.5" customHeight="1" thickBot="1">
      <c r="A7" s="168"/>
      <c r="B7" s="169" t="s">
        <v>38</v>
      </c>
      <c r="C7" s="170"/>
      <c r="D7" s="170"/>
      <c r="E7" s="170"/>
      <c r="F7" s="35"/>
      <c r="G7" s="35"/>
      <c r="H7" s="35"/>
      <c r="I7" s="35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</row>
    <row r="8" spans="1:67" ht="24.75" customHeight="1" thickBot="1">
      <c r="A8" s="171"/>
      <c r="B8" s="172"/>
      <c r="C8" s="173"/>
      <c r="D8" s="173"/>
      <c r="E8" s="173"/>
      <c r="F8" s="36"/>
      <c r="G8" s="36"/>
      <c r="H8" s="36"/>
      <c r="I8" s="36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</row>
    <row r="9" spans="1:67" ht="24.75" customHeight="1">
      <c r="A9" s="174"/>
      <c r="B9" s="175" t="s">
        <v>39</v>
      </c>
      <c r="C9" s="176" t="s">
        <v>40</v>
      </c>
      <c r="D9" s="176" t="s">
        <v>41</v>
      </c>
      <c r="E9" s="176" t="s">
        <v>42</v>
      </c>
      <c r="F9" s="36"/>
      <c r="G9" s="36"/>
      <c r="H9" s="36"/>
      <c r="I9" s="36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</row>
    <row r="10" spans="1:67" ht="24.75" customHeight="1" thickBot="1">
      <c r="A10" s="174"/>
      <c r="B10" s="177" t="s">
        <v>43</v>
      </c>
      <c r="C10" s="178" t="s">
        <v>44</v>
      </c>
      <c r="D10" s="178" t="s">
        <v>45</v>
      </c>
      <c r="E10" s="178" t="s">
        <v>46</v>
      </c>
      <c r="F10" s="36"/>
      <c r="G10" s="36"/>
      <c r="H10" s="36"/>
      <c r="I10" s="36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</row>
    <row r="11" spans="1:67" ht="25.5" customHeight="1" thickBot="1">
      <c r="A11" s="174"/>
      <c r="B11" s="179" t="s">
        <v>47</v>
      </c>
      <c r="C11" s="180" t="s">
        <v>48</v>
      </c>
      <c r="D11" s="180" t="s">
        <v>49</v>
      </c>
      <c r="E11" s="180" t="s">
        <v>50</v>
      </c>
      <c r="F11" s="35"/>
      <c r="G11" s="35"/>
      <c r="H11" s="35"/>
      <c r="I11" s="35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</row>
    <row r="12" spans="1:67" ht="18.75" customHeight="1" thickBot="1">
      <c r="A12" s="174"/>
      <c r="B12" s="179" t="s">
        <v>51</v>
      </c>
      <c r="C12" s="180" t="s">
        <v>52</v>
      </c>
      <c r="D12" s="180" t="s">
        <v>53</v>
      </c>
      <c r="E12" s="180" t="s">
        <v>54</v>
      </c>
      <c r="F12" s="36"/>
      <c r="G12" s="36"/>
      <c r="H12" s="36"/>
      <c r="I12" s="36"/>
      <c r="J12" s="1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</row>
    <row r="13" spans="1:67" ht="18.75" customHeight="1" thickBot="1">
      <c r="A13" s="174"/>
      <c r="B13" s="179" t="s">
        <v>55</v>
      </c>
      <c r="C13" s="180" t="s">
        <v>52</v>
      </c>
      <c r="D13" s="181"/>
      <c r="E13" s="180" t="s">
        <v>56</v>
      </c>
      <c r="F13" s="36"/>
      <c r="G13" s="36"/>
      <c r="H13" s="36"/>
      <c r="I13" s="36"/>
      <c r="J13" s="1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</row>
    <row r="14" spans="1:67" ht="18.75" customHeight="1" thickBot="1">
      <c r="A14" s="174"/>
      <c r="B14" s="179" t="s">
        <v>57</v>
      </c>
      <c r="C14" s="180" t="s">
        <v>52</v>
      </c>
      <c r="D14" s="180"/>
      <c r="E14" s="180" t="s">
        <v>58</v>
      </c>
      <c r="F14" s="36"/>
      <c r="G14" s="36"/>
      <c r="H14" s="36"/>
      <c r="I14" s="36"/>
      <c r="J14" s="1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</row>
    <row r="15" spans="1:67" ht="25.5" customHeight="1" thickBot="1">
      <c r="A15" s="174"/>
      <c r="B15" s="179" t="s">
        <v>59</v>
      </c>
      <c r="C15" s="180" t="s">
        <v>60</v>
      </c>
      <c r="D15" s="180"/>
      <c r="E15" s="180" t="s">
        <v>61</v>
      </c>
      <c r="F15" s="35"/>
      <c r="G15" s="35"/>
      <c r="H15" s="35"/>
      <c r="I15" s="35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</row>
    <row r="16" spans="1:67" ht="21" customHeight="1">
      <c r="A16" s="174"/>
      <c r="B16" s="175" t="s">
        <v>62</v>
      </c>
      <c r="C16" s="176" t="s">
        <v>63</v>
      </c>
      <c r="D16" s="176"/>
      <c r="E16" s="176" t="s">
        <v>64</v>
      </c>
      <c r="F16" s="36"/>
      <c r="G16" s="36"/>
      <c r="H16" s="36"/>
      <c r="I16" s="36"/>
      <c r="J16" s="1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</row>
    <row r="17" spans="1:67" ht="21" customHeight="1" thickBot="1">
      <c r="A17" s="174"/>
      <c r="B17" s="177" t="s">
        <v>65</v>
      </c>
      <c r="C17" s="178" t="s">
        <v>60</v>
      </c>
      <c r="D17" s="178" t="s">
        <v>66</v>
      </c>
      <c r="E17" s="178" t="s">
        <v>67</v>
      </c>
      <c r="F17" s="36"/>
      <c r="G17" s="36"/>
      <c r="H17" s="36"/>
      <c r="I17" s="36"/>
      <c r="J17" s="1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</row>
    <row r="18" spans="1:67" ht="25.5" customHeight="1" thickBot="1">
      <c r="A18" s="174"/>
      <c r="B18" s="179" t="s">
        <v>68</v>
      </c>
      <c r="C18" s="180" t="s">
        <v>69</v>
      </c>
      <c r="D18" s="180" t="s">
        <v>70</v>
      </c>
      <c r="E18" s="180" t="s">
        <v>71</v>
      </c>
      <c r="F18" s="35"/>
      <c r="G18" s="35"/>
      <c r="H18" s="35"/>
      <c r="I18" s="35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</row>
    <row r="19" spans="1:67" ht="20.25" customHeight="1" thickBot="1">
      <c r="A19" s="174"/>
      <c r="B19" s="179" t="s">
        <v>72</v>
      </c>
      <c r="C19" s="180" t="s">
        <v>60</v>
      </c>
      <c r="D19" s="180" t="s">
        <v>73</v>
      </c>
      <c r="E19" s="180" t="s">
        <v>74</v>
      </c>
      <c r="F19" s="36"/>
      <c r="G19" s="36"/>
      <c r="H19" s="36"/>
      <c r="I19" s="36"/>
      <c r="J19" s="1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</row>
    <row r="20" spans="1:67" ht="20.25" customHeight="1">
      <c r="A20" s="174"/>
      <c r="B20" s="182"/>
      <c r="C20" s="183"/>
      <c r="D20" s="183"/>
      <c r="E20" s="183"/>
      <c r="F20" s="36"/>
      <c r="G20" s="36"/>
      <c r="H20" s="36"/>
      <c r="I20" s="36"/>
      <c r="J20" s="1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</row>
    <row r="21" spans="1:67" ht="25.5" customHeight="1" thickBot="1">
      <c r="A21" s="174"/>
      <c r="B21" s="169" t="s">
        <v>177</v>
      </c>
      <c r="C21" s="170"/>
      <c r="D21" s="170"/>
      <c r="E21" s="170"/>
      <c r="F21" s="35"/>
      <c r="G21" s="35"/>
      <c r="H21" s="35"/>
      <c r="I21" s="35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</row>
    <row r="22" spans="1:67" ht="21" customHeight="1">
      <c r="A22" s="174"/>
      <c r="B22" s="184"/>
      <c r="C22" s="185"/>
      <c r="D22" s="185"/>
      <c r="E22" s="185"/>
      <c r="F22" s="36"/>
      <c r="G22" s="36"/>
      <c r="H22" s="36"/>
      <c r="I22" s="36"/>
      <c r="J22" s="1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</row>
    <row r="23" spans="1:67" ht="21" customHeight="1" thickBot="1">
      <c r="A23" s="174"/>
      <c r="B23" s="186" t="s">
        <v>39</v>
      </c>
      <c r="C23" s="187" t="s">
        <v>40</v>
      </c>
      <c r="D23" s="187" t="s">
        <v>41</v>
      </c>
      <c r="E23" s="187" t="s">
        <v>42</v>
      </c>
      <c r="F23" s="36"/>
      <c r="G23" s="36"/>
      <c r="H23" s="36"/>
      <c r="I23" s="36"/>
      <c r="J23" s="1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</row>
    <row r="24" spans="1:67" ht="14.25" customHeight="1" thickBot="1">
      <c r="A24" s="174"/>
      <c r="B24" s="179" t="s">
        <v>75</v>
      </c>
      <c r="C24" s="180" t="s">
        <v>44</v>
      </c>
      <c r="D24" s="180" t="s">
        <v>45</v>
      </c>
      <c r="E24" s="180" t="s">
        <v>76</v>
      </c>
      <c r="F24" s="36"/>
      <c r="G24" s="36"/>
      <c r="H24" s="36"/>
      <c r="I24" s="36"/>
      <c r="J24" s="1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</row>
    <row r="25" spans="1:67" ht="14.25" customHeight="1" thickBot="1">
      <c r="A25" s="174"/>
      <c r="B25" s="179" t="s">
        <v>77</v>
      </c>
      <c r="C25" s="180" t="s">
        <v>52</v>
      </c>
      <c r="D25" s="180" t="s">
        <v>53</v>
      </c>
      <c r="E25" s="180" t="s">
        <v>78</v>
      </c>
      <c r="F25" s="36"/>
      <c r="G25" s="36"/>
      <c r="H25" s="36"/>
      <c r="I25" s="36"/>
      <c r="J25" s="1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</row>
    <row r="26" spans="1:67" ht="14.25" customHeight="1" thickBot="1">
      <c r="A26" s="174"/>
      <c r="B26" s="179" t="s">
        <v>79</v>
      </c>
      <c r="C26" s="180" t="s">
        <v>44</v>
      </c>
      <c r="D26" s="181"/>
      <c r="E26" s="180" t="s">
        <v>80</v>
      </c>
      <c r="F26" s="36"/>
      <c r="G26" s="36"/>
      <c r="H26" s="36"/>
      <c r="I26" s="36"/>
      <c r="J26" s="1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</row>
    <row r="27" spans="1:67" ht="14.25" customHeight="1">
      <c r="A27" s="188"/>
      <c r="B27" s="188"/>
      <c r="C27" s="189"/>
      <c r="D27" s="189"/>
      <c r="E27" s="190"/>
      <c r="F27" s="2"/>
      <c r="G27" s="1"/>
      <c r="H27" s="2"/>
      <c r="I27" s="2"/>
      <c r="J27" s="1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</row>
    <row r="28" spans="1:67" ht="14.25" customHeight="1" thickBot="1">
      <c r="A28" s="188"/>
      <c r="B28" s="191" t="s">
        <v>81</v>
      </c>
      <c r="C28" s="189"/>
      <c r="D28" s="189"/>
      <c r="E28" s="190"/>
      <c r="F28" s="2"/>
      <c r="G28" s="1"/>
      <c r="H28" s="2"/>
      <c r="I28" s="2"/>
      <c r="J28" s="1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</row>
    <row r="29" spans="1:67" ht="14.25" customHeight="1">
      <c r="A29" s="188"/>
      <c r="B29" s="207" t="s">
        <v>39</v>
      </c>
      <c r="C29" s="176"/>
      <c r="D29" s="176"/>
      <c r="E29" s="176"/>
      <c r="F29" s="2"/>
      <c r="G29" s="1"/>
      <c r="H29" s="2"/>
      <c r="I29" s="2"/>
      <c r="J29" s="1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</row>
    <row r="30" spans="1:67" ht="14.25" customHeight="1" thickBot="1">
      <c r="A30" s="188"/>
      <c r="B30" s="208"/>
      <c r="C30" s="178" t="s">
        <v>40</v>
      </c>
      <c r="D30" s="178" t="s">
        <v>41</v>
      </c>
      <c r="E30" s="178" t="s">
        <v>42</v>
      </c>
      <c r="F30" s="2"/>
      <c r="G30" s="1"/>
      <c r="H30" s="2"/>
      <c r="I30" s="2"/>
      <c r="J30" s="1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</row>
    <row r="31" spans="1:67" ht="14.25" customHeight="1" thickBot="1">
      <c r="A31" s="188"/>
      <c r="B31" s="179" t="s">
        <v>82</v>
      </c>
      <c r="C31" s="180" t="s">
        <v>44</v>
      </c>
      <c r="D31" s="180" t="s">
        <v>45</v>
      </c>
      <c r="E31" s="180" t="s">
        <v>83</v>
      </c>
      <c r="F31" s="2"/>
      <c r="G31" s="1"/>
      <c r="H31" s="2"/>
      <c r="I31" s="2"/>
      <c r="J31" s="1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</row>
    <row r="32" spans="1:67" ht="14.25" customHeight="1" thickBot="1">
      <c r="A32" s="188"/>
      <c r="B32" s="179" t="s">
        <v>84</v>
      </c>
      <c r="C32" s="180" t="s">
        <v>85</v>
      </c>
      <c r="D32" s="181"/>
      <c r="E32" s="180" t="s">
        <v>86</v>
      </c>
      <c r="F32" s="2"/>
      <c r="G32" s="1"/>
      <c r="H32" s="2"/>
      <c r="I32" s="2"/>
      <c r="J32" s="1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</row>
    <row r="33" spans="1:67" ht="14.25" customHeight="1" thickBot="1">
      <c r="A33" s="188"/>
      <c r="B33" s="179" t="s">
        <v>75</v>
      </c>
      <c r="C33" s="180" t="s">
        <v>44</v>
      </c>
      <c r="D33" s="180" t="s">
        <v>87</v>
      </c>
      <c r="E33" s="180" t="s">
        <v>76</v>
      </c>
      <c r="F33" s="2"/>
      <c r="G33" s="1"/>
      <c r="H33" s="2"/>
      <c r="I33" s="2"/>
      <c r="J33" s="1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</row>
    <row r="34" spans="1:67" ht="14.25" customHeight="1" thickBot="1">
      <c r="A34" s="188"/>
      <c r="B34" s="179" t="s">
        <v>88</v>
      </c>
      <c r="C34" s="180" t="s">
        <v>89</v>
      </c>
      <c r="D34" s="181"/>
      <c r="E34" s="180" t="s">
        <v>90</v>
      </c>
      <c r="F34" s="2"/>
      <c r="G34" s="1"/>
      <c r="H34" s="2"/>
      <c r="I34" s="2"/>
      <c r="J34" s="1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</row>
    <row r="35" spans="1:67" ht="14.25" customHeight="1" thickBot="1">
      <c r="A35" s="188"/>
      <c r="B35" s="179" t="s">
        <v>91</v>
      </c>
      <c r="C35" s="180" t="s">
        <v>44</v>
      </c>
      <c r="D35" s="181"/>
      <c r="E35" s="180" t="s">
        <v>92</v>
      </c>
      <c r="F35" s="2"/>
      <c r="G35" s="1"/>
      <c r="H35" s="2"/>
      <c r="I35" s="2"/>
      <c r="J35" s="1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</row>
    <row r="36" spans="1:67" ht="14.25" customHeight="1" thickBot="1">
      <c r="A36" s="188"/>
      <c r="B36" s="179" t="s">
        <v>72</v>
      </c>
      <c r="C36" s="180" t="s">
        <v>60</v>
      </c>
      <c r="D36" s="181"/>
      <c r="E36" s="180" t="s">
        <v>93</v>
      </c>
      <c r="F36" s="2"/>
      <c r="G36" s="1"/>
      <c r="H36" s="2"/>
      <c r="I36" s="2"/>
      <c r="J36" s="1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</row>
    <row r="37" spans="1:67" ht="14.25" customHeight="1" thickBot="1">
      <c r="A37" s="188"/>
      <c r="B37" s="179" t="s">
        <v>94</v>
      </c>
      <c r="C37" s="180" t="s">
        <v>63</v>
      </c>
      <c r="D37" s="181"/>
      <c r="E37" s="180" t="s">
        <v>95</v>
      </c>
      <c r="F37" s="2"/>
      <c r="G37" s="1"/>
      <c r="H37" s="2"/>
      <c r="I37" s="2"/>
      <c r="J37" s="1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</row>
    <row r="38" spans="1:67" ht="14.25" customHeight="1" thickBot="1">
      <c r="A38" s="188"/>
      <c r="B38" s="179" t="s">
        <v>96</v>
      </c>
      <c r="C38" s="180" t="s">
        <v>97</v>
      </c>
      <c r="D38" s="181"/>
      <c r="E38" s="180" t="s">
        <v>98</v>
      </c>
      <c r="F38" s="2"/>
      <c r="G38" s="1"/>
      <c r="H38" s="2"/>
      <c r="I38" s="2"/>
      <c r="J38" s="1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</row>
    <row r="39" spans="1:67" ht="14.25" customHeight="1" thickBot="1">
      <c r="A39" s="188"/>
      <c r="B39" s="179" t="s">
        <v>68</v>
      </c>
      <c r="C39" s="180" t="s">
        <v>69</v>
      </c>
      <c r="D39" s="180" t="s">
        <v>70</v>
      </c>
      <c r="E39" s="180" t="s">
        <v>99</v>
      </c>
      <c r="F39" s="2"/>
      <c r="G39" s="1"/>
      <c r="H39" s="2"/>
      <c r="I39" s="2"/>
      <c r="J39" s="1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</row>
    <row r="40" spans="1:67" ht="14.25" customHeight="1">
      <c r="A40" s="188"/>
      <c r="B40" s="188"/>
      <c r="C40" s="189"/>
      <c r="D40" s="189"/>
      <c r="E40" s="190"/>
      <c r="F40" s="2"/>
      <c r="G40" s="1"/>
      <c r="H40" s="2"/>
      <c r="I40" s="2"/>
      <c r="J40" s="1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</row>
    <row r="41" spans="1:67" ht="14.25" customHeight="1" thickBot="1">
      <c r="A41" s="188"/>
      <c r="B41" s="193" t="s">
        <v>176</v>
      </c>
      <c r="C41" s="189"/>
      <c r="D41" s="189"/>
      <c r="E41" s="190"/>
      <c r="F41" s="2"/>
      <c r="G41" s="1"/>
      <c r="H41" s="2"/>
      <c r="I41" s="2"/>
      <c r="J41" s="1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</row>
    <row r="42" spans="1:67" ht="14.25" customHeight="1">
      <c r="A42" s="188"/>
      <c r="B42" s="175"/>
      <c r="C42" s="176"/>
      <c r="D42" s="176"/>
      <c r="E42" s="176"/>
      <c r="F42" s="2"/>
      <c r="G42" s="1"/>
      <c r="H42" s="2"/>
      <c r="I42" s="2"/>
      <c r="J42" s="1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</row>
    <row r="43" spans="1:67" ht="14.25" customHeight="1" thickBot="1">
      <c r="A43" s="188"/>
      <c r="B43" s="177" t="s">
        <v>39</v>
      </c>
      <c r="C43" s="178" t="s">
        <v>40</v>
      </c>
      <c r="D43" s="178" t="s">
        <v>41</v>
      </c>
      <c r="E43" s="178" t="s">
        <v>42</v>
      </c>
      <c r="F43" s="2"/>
      <c r="G43" s="1"/>
      <c r="H43" s="2"/>
      <c r="I43" s="2"/>
      <c r="J43" s="1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</row>
    <row r="44" spans="1:67" ht="14.25" customHeight="1" thickBot="1">
      <c r="A44" s="188"/>
      <c r="B44" s="179" t="s">
        <v>100</v>
      </c>
      <c r="C44" s="180" t="s">
        <v>44</v>
      </c>
      <c r="D44" s="180" t="s">
        <v>45</v>
      </c>
      <c r="E44" s="180" t="s">
        <v>101</v>
      </c>
      <c r="F44" s="2"/>
      <c r="G44" s="1"/>
      <c r="H44" s="2"/>
      <c r="I44" s="2"/>
      <c r="J44" s="1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</row>
    <row r="45" spans="1:67" ht="14.25" customHeight="1" thickBot="1">
      <c r="A45" s="188"/>
      <c r="B45" s="179" t="s">
        <v>43</v>
      </c>
      <c r="C45" s="180" t="s">
        <v>44</v>
      </c>
      <c r="D45" s="180" t="s">
        <v>102</v>
      </c>
      <c r="E45" s="180" t="s">
        <v>103</v>
      </c>
      <c r="F45" s="2"/>
      <c r="G45" s="1"/>
      <c r="H45" s="2"/>
      <c r="I45" s="2"/>
      <c r="J45" s="1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</row>
    <row r="46" spans="1:67" ht="14.25" customHeight="1" thickBot="1">
      <c r="A46" s="188"/>
      <c r="B46" s="179" t="s">
        <v>82</v>
      </c>
      <c r="C46" s="180" t="s">
        <v>44</v>
      </c>
      <c r="D46" s="180" t="s">
        <v>104</v>
      </c>
      <c r="E46" s="180" t="s">
        <v>105</v>
      </c>
      <c r="F46" s="2"/>
      <c r="G46" s="1"/>
      <c r="H46" s="2"/>
      <c r="I46" s="2"/>
      <c r="J46" s="1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</row>
    <row r="47" spans="1:67" ht="14.25" customHeight="1" thickBot="1">
      <c r="A47" s="188"/>
      <c r="B47" s="179" t="s">
        <v>91</v>
      </c>
      <c r="C47" s="180" t="s">
        <v>44</v>
      </c>
      <c r="D47" s="181"/>
      <c r="E47" s="180" t="s">
        <v>106</v>
      </c>
      <c r="F47" s="2"/>
      <c r="G47" s="1"/>
      <c r="H47" s="2"/>
      <c r="I47" s="2"/>
      <c r="J47" s="1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</row>
    <row r="48" spans="1:67" ht="14.25" customHeight="1" thickBot="1">
      <c r="A48" s="188"/>
      <c r="B48" s="179" t="s">
        <v>107</v>
      </c>
      <c r="C48" s="180" t="s">
        <v>69</v>
      </c>
      <c r="D48" s="180" t="s">
        <v>70</v>
      </c>
      <c r="E48" s="180" t="s">
        <v>108</v>
      </c>
      <c r="F48" s="2"/>
      <c r="G48" s="1"/>
      <c r="H48" s="2"/>
      <c r="I48" s="2"/>
      <c r="J48" s="1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</row>
    <row r="49" spans="1:67" ht="14.25" customHeight="1">
      <c r="A49" s="188"/>
      <c r="B49" s="188"/>
      <c r="C49" s="189"/>
      <c r="D49" s="189"/>
      <c r="E49" s="190"/>
      <c r="F49" s="2"/>
      <c r="G49" s="1"/>
      <c r="H49" s="2"/>
      <c r="I49" s="2"/>
      <c r="J49" s="1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</row>
    <row r="50" spans="1:67" ht="14.25" customHeight="1" thickBot="1">
      <c r="A50" s="188"/>
      <c r="B50" s="197" t="s">
        <v>109</v>
      </c>
      <c r="C50" s="189"/>
      <c r="D50" s="189"/>
      <c r="E50" s="190"/>
      <c r="F50" s="2"/>
      <c r="G50" s="1"/>
      <c r="H50" s="2"/>
      <c r="I50" s="2"/>
      <c r="J50" s="1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</row>
    <row r="51" spans="1:67" ht="14.25" customHeight="1">
      <c r="A51" s="188"/>
      <c r="B51" s="175"/>
      <c r="C51" s="176"/>
      <c r="D51" s="176"/>
      <c r="E51" s="176"/>
      <c r="F51" s="2"/>
      <c r="G51" s="1"/>
      <c r="H51" s="2"/>
      <c r="I51" s="2"/>
      <c r="J51" s="1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</row>
    <row r="52" spans="1:67" ht="14.25" customHeight="1" thickBot="1">
      <c r="A52" s="188"/>
      <c r="B52" s="177" t="s">
        <v>39</v>
      </c>
      <c r="C52" s="178" t="s">
        <v>40</v>
      </c>
      <c r="D52" s="178" t="s">
        <v>41</v>
      </c>
      <c r="E52" s="178" t="s">
        <v>42</v>
      </c>
      <c r="F52" s="2"/>
      <c r="G52" s="1"/>
      <c r="H52" s="2"/>
      <c r="I52" s="2"/>
      <c r="J52" s="1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</row>
    <row r="53" spans="1:67" ht="14.25" customHeight="1" thickBot="1">
      <c r="A53" s="188"/>
      <c r="B53" s="179" t="s">
        <v>110</v>
      </c>
      <c r="C53" s="180" t="s">
        <v>44</v>
      </c>
      <c r="D53" s="180" t="s">
        <v>45</v>
      </c>
      <c r="E53" s="180" t="s">
        <v>111</v>
      </c>
      <c r="F53" s="2"/>
      <c r="G53" s="1"/>
      <c r="H53" s="2"/>
      <c r="I53" s="2"/>
      <c r="J53" s="1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</row>
    <row r="54" spans="1:67" ht="14.25" customHeight="1" thickBot="1">
      <c r="A54" s="188"/>
      <c r="B54" s="179" t="s">
        <v>112</v>
      </c>
      <c r="C54" s="180" t="s">
        <v>60</v>
      </c>
      <c r="D54" s="181"/>
      <c r="E54" s="180" t="s">
        <v>113</v>
      </c>
      <c r="F54" s="2"/>
      <c r="G54" s="1"/>
      <c r="H54" s="2"/>
      <c r="I54" s="2"/>
      <c r="J54" s="1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</row>
    <row r="55" spans="1:67" ht="14.25" customHeight="1" thickBot="1">
      <c r="A55" s="188"/>
      <c r="B55" s="179" t="s">
        <v>43</v>
      </c>
      <c r="C55" s="180" t="s">
        <v>44</v>
      </c>
      <c r="D55" s="180" t="s">
        <v>102</v>
      </c>
      <c r="E55" s="180" t="s">
        <v>114</v>
      </c>
      <c r="F55" s="2"/>
      <c r="G55" s="1"/>
      <c r="H55" s="2"/>
      <c r="I55" s="2"/>
      <c r="J55" s="1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</row>
    <row r="56" spans="1:67" ht="14.25" customHeight="1" thickBot="1">
      <c r="A56" s="188"/>
      <c r="B56" s="179" t="s">
        <v>115</v>
      </c>
      <c r="C56" s="180" t="s">
        <v>89</v>
      </c>
      <c r="D56" s="181"/>
      <c r="E56" s="180" t="s">
        <v>116</v>
      </c>
      <c r="F56" s="2"/>
      <c r="G56" s="1"/>
      <c r="H56" s="2"/>
      <c r="I56" s="2"/>
      <c r="J56" s="1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</row>
    <row r="57" spans="1:67" ht="14.25" customHeight="1" thickBot="1">
      <c r="A57" s="188"/>
      <c r="B57" s="179" t="s">
        <v>72</v>
      </c>
      <c r="C57" s="180" t="s">
        <v>117</v>
      </c>
      <c r="D57" s="181"/>
      <c r="E57" s="180" t="s">
        <v>118</v>
      </c>
      <c r="F57" s="2"/>
      <c r="G57" s="1"/>
      <c r="H57" s="2"/>
      <c r="I57" s="2"/>
      <c r="J57" s="1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</row>
    <row r="58" spans="1:67" ht="14.25" customHeight="1" thickBot="1">
      <c r="A58" s="188"/>
      <c r="B58" s="179" t="s">
        <v>119</v>
      </c>
      <c r="C58" s="180" t="s">
        <v>69</v>
      </c>
      <c r="D58" s="180" t="s">
        <v>70</v>
      </c>
      <c r="E58" s="180" t="s">
        <v>120</v>
      </c>
      <c r="F58" s="2"/>
      <c r="G58" s="1"/>
      <c r="H58" s="2"/>
      <c r="I58" s="2"/>
      <c r="J58" s="1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</row>
    <row r="59" spans="1:67" ht="14.25" customHeight="1" thickBot="1">
      <c r="A59" s="188"/>
      <c r="B59" s="179" t="s">
        <v>121</v>
      </c>
      <c r="C59" s="180" t="s">
        <v>52</v>
      </c>
      <c r="D59" s="181"/>
      <c r="E59" s="180" t="s">
        <v>122</v>
      </c>
      <c r="F59" s="2"/>
      <c r="G59" s="1"/>
      <c r="H59" s="2"/>
      <c r="I59" s="2"/>
      <c r="J59" s="1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</row>
    <row r="60" spans="1:67" ht="14.25" customHeight="1" thickBot="1">
      <c r="A60" s="188"/>
      <c r="B60" s="179" t="s">
        <v>123</v>
      </c>
      <c r="C60" s="180" t="s">
        <v>60</v>
      </c>
      <c r="D60" s="181"/>
      <c r="E60" s="180" t="s">
        <v>124</v>
      </c>
      <c r="F60" s="2"/>
      <c r="G60" s="1"/>
      <c r="H60" s="2"/>
      <c r="I60" s="2"/>
      <c r="J60" s="1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</row>
    <row r="61" spans="1:67" ht="14.25" customHeight="1" thickBot="1">
      <c r="A61" s="188"/>
      <c r="B61" s="179" t="s">
        <v>125</v>
      </c>
      <c r="C61" s="180" t="s">
        <v>63</v>
      </c>
      <c r="D61" s="181"/>
      <c r="E61" s="180" t="s">
        <v>126</v>
      </c>
      <c r="F61" s="2"/>
      <c r="G61" s="1"/>
      <c r="H61" s="2"/>
      <c r="I61" s="2"/>
      <c r="J61" s="1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</row>
    <row r="62" spans="1:67" ht="14.25" customHeight="1">
      <c r="A62" s="188"/>
      <c r="B62" s="188"/>
      <c r="C62" s="189"/>
      <c r="D62" s="189"/>
      <c r="E62" s="190"/>
      <c r="F62" s="2"/>
      <c r="G62" s="1"/>
      <c r="H62" s="2"/>
      <c r="I62" s="2"/>
      <c r="J62" s="1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</row>
    <row r="63" spans="1:67" ht="14.25" customHeight="1" thickBot="1">
      <c r="A63" s="188"/>
      <c r="B63" s="193" t="s">
        <v>127</v>
      </c>
      <c r="C63" s="189"/>
      <c r="D63" s="189"/>
      <c r="E63" s="190"/>
      <c r="F63" s="2"/>
      <c r="G63" s="1"/>
      <c r="H63" s="2"/>
      <c r="I63" s="2"/>
      <c r="J63" s="1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</row>
    <row r="64" spans="1:67" ht="14.25" customHeight="1">
      <c r="A64" s="188"/>
      <c r="B64" s="175"/>
      <c r="C64" s="176"/>
      <c r="D64" s="176"/>
      <c r="E64" s="176"/>
      <c r="F64" s="2"/>
      <c r="G64" s="1"/>
      <c r="H64" s="2"/>
      <c r="I64" s="2"/>
      <c r="J64" s="1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</row>
    <row r="65" spans="1:67" ht="14.25" customHeight="1" thickBot="1">
      <c r="A65" s="188"/>
      <c r="B65" s="177" t="s">
        <v>39</v>
      </c>
      <c r="C65" s="178" t="s">
        <v>40</v>
      </c>
      <c r="D65" s="178" t="s">
        <v>41</v>
      </c>
      <c r="E65" s="178" t="s">
        <v>42</v>
      </c>
      <c r="F65" s="2"/>
      <c r="G65" s="1"/>
      <c r="H65" s="2"/>
      <c r="I65" s="2"/>
      <c r="J65" s="1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</row>
    <row r="66" spans="1:67" ht="14.25" customHeight="1" thickBot="1">
      <c r="A66" s="188"/>
      <c r="B66" s="179" t="s">
        <v>128</v>
      </c>
      <c r="C66" s="180" t="s">
        <v>44</v>
      </c>
      <c r="D66" s="180" t="s">
        <v>45</v>
      </c>
      <c r="E66" s="180" t="s">
        <v>129</v>
      </c>
      <c r="F66" s="2"/>
      <c r="G66" s="1"/>
      <c r="H66" s="2"/>
      <c r="I66" s="2"/>
      <c r="J66" s="1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</row>
    <row r="67" spans="1:67" ht="14.25" customHeight="1" thickBot="1">
      <c r="A67" s="188"/>
      <c r="B67" s="179" t="s">
        <v>110</v>
      </c>
      <c r="C67" s="180" t="s">
        <v>44</v>
      </c>
      <c r="D67" s="180" t="s">
        <v>130</v>
      </c>
      <c r="E67" s="180" t="s">
        <v>131</v>
      </c>
      <c r="F67" s="2"/>
      <c r="G67" s="1"/>
      <c r="H67" s="2"/>
      <c r="I67" s="2"/>
      <c r="J67" s="1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</row>
    <row r="68" spans="1:67" ht="14.25" customHeight="1" thickBot="1">
      <c r="A68" s="188"/>
      <c r="B68" s="179" t="s">
        <v>82</v>
      </c>
      <c r="C68" s="180" t="s">
        <v>44</v>
      </c>
      <c r="D68" s="180" t="s">
        <v>104</v>
      </c>
      <c r="E68" s="180" t="s">
        <v>105</v>
      </c>
      <c r="F68" s="2"/>
      <c r="G68" s="1"/>
      <c r="H68" s="2"/>
      <c r="I68" s="2"/>
      <c r="J68" s="1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</row>
    <row r="69" spans="1:67" ht="14.25" customHeight="1" thickBot="1">
      <c r="A69" s="188"/>
      <c r="B69" s="179" t="s">
        <v>91</v>
      </c>
      <c r="C69" s="180" t="s">
        <v>44</v>
      </c>
      <c r="D69" s="181"/>
      <c r="E69" s="180" t="s">
        <v>106</v>
      </c>
      <c r="F69" s="2"/>
      <c r="G69" s="1"/>
      <c r="H69" s="2"/>
      <c r="I69" s="2"/>
      <c r="J69" s="1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</row>
    <row r="70" spans="1:67" ht="14.25" customHeight="1" thickBot="1">
      <c r="A70" s="188"/>
      <c r="B70" s="179" t="s">
        <v>132</v>
      </c>
      <c r="C70" s="180" t="s">
        <v>89</v>
      </c>
      <c r="D70" s="181"/>
      <c r="E70" s="180" t="s">
        <v>133</v>
      </c>
      <c r="F70" s="2"/>
      <c r="G70" s="1"/>
      <c r="H70" s="2"/>
      <c r="I70" s="2"/>
      <c r="J70" s="1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</row>
    <row r="71" spans="1:67" ht="14.25" customHeight="1">
      <c r="A71" s="188"/>
      <c r="B71" s="188"/>
      <c r="C71" s="189"/>
      <c r="D71" s="189"/>
      <c r="E71" s="190"/>
      <c r="F71" s="2"/>
      <c r="G71" s="1"/>
      <c r="H71" s="2"/>
      <c r="I71" s="2"/>
      <c r="J71" s="1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</row>
    <row r="72" spans="1:67" ht="14.25" customHeight="1" thickBot="1">
      <c r="A72" s="188"/>
      <c r="B72" s="197" t="s">
        <v>134</v>
      </c>
      <c r="C72" s="189"/>
      <c r="D72" s="189"/>
      <c r="E72" s="190"/>
      <c r="F72" s="2"/>
      <c r="G72" s="1"/>
      <c r="H72" s="2"/>
      <c r="I72" s="2"/>
      <c r="J72" s="1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</row>
    <row r="73" spans="1:67" ht="14.25" customHeight="1">
      <c r="A73" s="188"/>
      <c r="B73" s="175"/>
      <c r="C73" s="176"/>
      <c r="D73" s="176"/>
      <c r="E73" s="176"/>
      <c r="F73" s="2"/>
      <c r="G73" s="1"/>
      <c r="H73" s="2"/>
      <c r="I73" s="2"/>
      <c r="J73" s="1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</row>
    <row r="74" spans="1:67" ht="14.25" customHeight="1" thickBot="1">
      <c r="A74" s="188"/>
      <c r="B74" s="177" t="s">
        <v>39</v>
      </c>
      <c r="C74" s="178" t="s">
        <v>40</v>
      </c>
      <c r="D74" s="178" t="s">
        <v>41</v>
      </c>
      <c r="E74" s="178" t="s">
        <v>42</v>
      </c>
      <c r="F74" s="2"/>
      <c r="G74" s="1"/>
      <c r="H74" s="2"/>
      <c r="I74" s="2"/>
      <c r="J74" s="1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</row>
    <row r="75" spans="1:67" ht="14.25" customHeight="1" thickBot="1">
      <c r="A75" s="188"/>
      <c r="B75" s="179" t="s">
        <v>135</v>
      </c>
      <c r="C75" s="180" t="s">
        <v>44</v>
      </c>
      <c r="D75" s="180" t="s">
        <v>45</v>
      </c>
      <c r="E75" s="180" t="s">
        <v>136</v>
      </c>
      <c r="F75" s="2"/>
      <c r="G75" s="1"/>
      <c r="H75" s="2"/>
      <c r="I75" s="2"/>
      <c r="J75" s="1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</row>
    <row r="76" spans="1:67" ht="14.25" customHeight="1" thickBot="1">
      <c r="A76" s="188"/>
      <c r="B76" s="179" t="s">
        <v>110</v>
      </c>
      <c r="C76" s="180" t="s">
        <v>44</v>
      </c>
      <c r="D76" s="180" t="s">
        <v>130</v>
      </c>
      <c r="E76" s="180" t="s">
        <v>111</v>
      </c>
      <c r="F76" s="2"/>
      <c r="G76" s="1"/>
      <c r="H76" s="2"/>
      <c r="I76" s="2"/>
      <c r="J76" s="1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</row>
    <row r="77" spans="1:67" ht="14.25" customHeight="1" thickBot="1">
      <c r="A77" s="188"/>
      <c r="B77" s="179" t="s">
        <v>72</v>
      </c>
      <c r="C77" s="180" t="s">
        <v>48</v>
      </c>
      <c r="D77" s="181"/>
      <c r="E77" s="180" t="s">
        <v>137</v>
      </c>
      <c r="F77" s="2"/>
      <c r="G77" s="1"/>
      <c r="H77" s="2"/>
      <c r="I77" s="2"/>
      <c r="J77" s="1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</row>
    <row r="78" spans="1:67" ht="14.25" customHeight="1" thickBot="1">
      <c r="A78" s="188"/>
      <c r="B78" s="179" t="s">
        <v>138</v>
      </c>
      <c r="C78" s="180" t="s">
        <v>69</v>
      </c>
      <c r="D78" s="180" t="s">
        <v>70</v>
      </c>
      <c r="E78" s="180" t="s">
        <v>139</v>
      </c>
      <c r="F78" s="2"/>
      <c r="G78" s="1"/>
      <c r="H78" s="2"/>
      <c r="I78" s="2"/>
      <c r="J78" s="1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</row>
    <row r="79" spans="1:67" ht="14.25" customHeight="1">
      <c r="A79" s="188"/>
      <c r="B79" s="193"/>
      <c r="C79" s="192"/>
      <c r="D79" s="192"/>
      <c r="E79" s="192"/>
      <c r="F79" s="2"/>
      <c r="G79" s="1"/>
      <c r="H79" s="2"/>
      <c r="I79" s="2"/>
      <c r="J79" s="1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</row>
    <row r="80" spans="1:67" ht="14.25" customHeight="1" thickBot="1">
      <c r="A80" s="188"/>
      <c r="B80" s="197" t="s">
        <v>140</v>
      </c>
      <c r="C80" s="189"/>
      <c r="D80" s="189"/>
      <c r="E80" s="190"/>
      <c r="F80" s="2"/>
      <c r="G80" s="1"/>
      <c r="H80" s="2"/>
      <c r="I80" s="2"/>
      <c r="J80" s="1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</row>
    <row r="81" spans="1:67" ht="14.25" customHeight="1">
      <c r="A81" s="188"/>
      <c r="B81" s="175"/>
      <c r="C81" s="176"/>
      <c r="D81" s="176"/>
      <c r="E81" s="176"/>
      <c r="F81" s="2"/>
      <c r="G81" s="1"/>
      <c r="H81" s="2"/>
      <c r="I81" s="2"/>
      <c r="J81" s="1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</row>
    <row r="82" spans="1:67" ht="14.25" customHeight="1" thickBot="1">
      <c r="A82" s="188"/>
      <c r="B82" s="177" t="s">
        <v>39</v>
      </c>
      <c r="C82" s="178" t="s">
        <v>40</v>
      </c>
      <c r="D82" s="178" t="s">
        <v>41</v>
      </c>
      <c r="E82" s="178" t="s">
        <v>42</v>
      </c>
      <c r="F82" s="2"/>
      <c r="G82" s="1"/>
      <c r="H82" s="2"/>
      <c r="I82" s="2"/>
      <c r="J82" s="1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</row>
    <row r="83" spans="1:67" ht="14.25" customHeight="1" thickBot="1">
      <c r="A83" s="188"/>
      <c r="B83" s="179" t="s">
        <v>141</v>
      </c>
      <c r="C83" s="180" t="s">
        <v>44</v>
      </c>
      <c r="D83" s="180" t="s">
        <v>45</v>
      </c>
      <c r="E83" s="180" t="s">
        <v>142</v>
      </c>
      <c r="F83" s="2"/>
      <c r="G83" s="1"/>
      <c r="H83" s="2"/>
      <c r="I83" s="2"/>
      <c r="J83" s="1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</row>
    <row r="84" spans="1:67" ht="14.25" customHeight="1" thickBot="1">
      <c r="A84" s="188"/>
      <c r="B84" s="179" t="s">
        <v>43</v>
      </c>
      <c r="C84" s="180" t="s">
        <v>44</v>
      </c>
      <c r="D84" s="180" t="s">
        <v>102</v>
      </c>
      <c r="E84" s="180" t="s">
        <v>143</v>
      </c>
      <c r="F84" s="2"/>
      <c r="G84" s="1"/>
      <c r="H84" s="2"/>
      <c r="I84" s="2"/>
      <c r="J84" s="1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</row>
    <row r="85" spans="1:67" ht="14.25" customHeight="1" thickBot="1">
      <c r="A85" s="188"/>
      <c r="B85" s="179" t="s">
        <v>82</v>
      </c>
      <c r="C85" s="180" t="s">
        <v>44</v>
      </c>
      <c r="D85" s="180" t="s">
        <v>104</v>
      </c>
      <c r="E85" s="180" t="s">
        <v>105</v>
      </c>
      <c r="F85" s="2"/>
      <c r="G85" s="1"/>
      <c r="H85" s="2"/>
      <c r="I85" s="2"/>
      <c r="J85" s="1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</row>
    <row r="86" spans="1:67" ht="14.25" customHeight="1" thickBot="1">
      <c r="A86" s="188"/>
      <c r="B86" s="179" t="s">
        <v>144</v>
      </c>
      <c r="C86" s="180" t="s">
        <v>44</v>
      </c>
      <c r="D86" s="180" t="s">
        <v>145</v>
      </c>
      <c r="E86" s="180" t="s">
        <v>146</v>
      </c>
      <c r="F86" s="2"/>
      <c r="G86" s="1"/>
      <c r="H86" s="2"/>
      <c r="I86" s="2"/>
      <c r="J86" s="1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ht="14.25" customHeight="1" thickBot="1">
      <c r="A87" s="188"/>
      <c r="B87" s="179" t="s">
        <v>147</v>
      </c>
      <c r="C87" s="180" t="s">
        <v>148</v>
      </c>
      <c r="D87" s="181"/>
      <c r="E87" s="180" t="s">
        <v>149</v>
      </c>
      <c r="F87" s="2"/>
      <c r="G87" s="1"/>
      <c r="H87" s="2"/>
      <c r="I87" s="2"/>
      <c r="J87" s="1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4.25" customHeight="1" thickBot="1">
      <c r="A88" s="188"/>
      <c r="B88" s="179" t="s">
        <v>68</v>
      </c>
      <c r="C88" s="180" t="s">
        <v>69</v>
      </c>
      <c r="D88" s="180" t="s">
        <v>70</v>
      </c>
      <c r="E88" s="180" t="s">
        <v>150</v>
      </c>
      <c r="F88" s="2"/>
      <c r="G88" s="1"/>
      <c r="H88" s="2"/>
      <c r="I88" s="2"/>
      <c r="J88" s="1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</row>
    <row r="89" spans="1:67" ht="14.25" customHeight="1">
      <c r="A89" s="188"/>
      <c r="B89" s="188"/>
      <c r="C89" s="189"/>
      <c r="D89" s="189"/>
      <c r="E89" s="190"/>
      <c r="F89" s="2"/>
      <c r="G89" s="1"/>
      <c r="H89" s="2"/>
      <c r="I89" s="2"/>
      <c r="J89" s="1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</row>
    <row r="90" spans="1:67" ht="33" customHeight="1" thickBot="1">
      <c r="A90" s="188"/>
      <c r="B90" s="193" t="s">
        <v>151</v>
      </c>
      <c r="C90" s="189"/>
      <c r="D90" s="189"/>
      <c r="E90" s="190"/>
      <c r="F90" s="2"/>
      <c r="G90" s="1"/>
      <c r="H90" s="2"/>
      <c r="I90" s="2"/>
      <c r="J90" s="1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</row>
    <row r="91" spans="1:67" ht="14.25" customHeight="1">
      <c r="A91" s="188"/>
      <c r="B91" s="175"/>
      <c r="C91" s="176"/>
      <c r="D91" s="176"/>
      <c r="E91" s="176"/>
      <c r="F91" s="2"/>
      <c r="G91" s="1"/>
      <c r="H91" s="2"/>
      <c r="I91" s="2"/>
      <c r="J91" s="1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</row>
    <row r="92" spans="1:67" ht="14.25" customHeight="1" thickBot="1">
      <c r="A92" s="188"/>
      <c r="B92" s="177" t="s">
        <v>39</v>
      </c>
      <c r="C92" s="178" t="s">
        <v>40</v>
      </c>
      <c r="D92" s="178" t="s">
        <v>41</v>
      </c>
      <c r="E92" s="178" t="s">
        <v>42</v>
      </c>
      <c r="F92" s="2"/>
      <c r="G92" s="1"/>
      <c r="H92" s="2"/>
      <c r="I92" s="2"/>
      <c r="J92" s="1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</row>
    <row r="93" spans="1:67" ht="14.25" customHeight="1" thickBot="1">
      <c r="A93" s="188"/>
      <c r="B93" s="179" t="s">
        <v>152</v>
      </c>
      <c r="C93" s="180" t="s">
        <v>44</v>
      </c>
      <c r="D93" s="180" t="s">
        <v>45</v>
      </c>
      <c r="E93" s="180" t="s">
        <v>153</v>
      </c>
      <c r="F93" s="2"/>
      <c r="G93" s="1"/>
      <c r="H93" s="2"/>
      <c r="I93" s="2"/>
      <c r="J93" s="1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</row>
    <row r="94" spans="1:67" ht="14.25" customHeight="1" thickBot="1">
      <c r="A94" s="188"/>
      <c r="B94" s="179" t="s">
        <v>82</v>
      </c>
      <c r="C94" s="180" t="s">
        <v>44</v>
      </c>
      <c r="D94" s="180" t="s">
        <v>104</v>
      </c>
      <c r="E94" s="180" t="s">
        <v>105</v>
      </c>
      <c r="F94" s="2"/>
      <c r="G94" s="1"/>
      <c r="H94" s="2"/>
      <c r="I94" s="2"/>
      <c r="J94" s="1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</row>
    <row r="95" spans="1:67" ht="14.25" customHeight="1" thickBot="1">
      <c r="A95" s="188"/>
      <c r="B95" s="179" t="s">
        <v>154</v>
      </c>
      <c r="C95" s="180" t="s">
        <v>52</v>
      </c>
      <c r="D95" s="181"/>
      <c r="E95" s="180" t="s">
        <v>155</v>
      </c>
      <c r="F95" s="2"/>
      <c r="G95" s="1"/>
      <c r="H95" s="2"/>
      <c r="I95" s="2"/>
      <c r="J95" s="1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</row>
    <row r="96" spans="1:67" ht="14.25" customHeight="1" thickBot="1">
      <c r="A96" s="188"/>
      <c r="B96" s="179" t="s">
        <v>156</v>
      </c>
      <c r="C96" s="180" t="s">
        <v>63</v>
      </c>
      <c r="D96" s="181"/>
      <c r="E96" s="180" t="s">
        <v>157</v>
      </c>
      <c r="F96" s="2"/>
      <c r="G96" s="1"/>
      <c r="H96" s="2"/>
      <c r="I96" s="2"/>
      <c r="J96" s="1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</row>
    <row r="97" spans="1:67" ht="14.25" customHeight="1">
      <c r="A97" s="188"/>
      <c r="B97" s="188"/>
      <c r="C97" s="189"/>
      <c r="D97" s="189"/>
      <c r="E97" s="190"/>
      <c r="F97" s="2"/>
      <c r="G97" s="1"/>
      <c r="H97" s="2"/>
      <c r="I97" s="2"/>
      <c r="J97" s="1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</row>
    <row r="98" spans="1:67" ht="14.25" customHeight="1">
      <c r="A98" s="188"/>
      <c r="B98" s="196" t="s">
        <v>175</v>
      </c>
      <c r="C98" s="189"/>
      <c r="D98" s="189"/>
      <c r="E98" s="190"/>
      <c r="F98" s="2"/>
      <c r="G98" s="1"/>
      <c r="H98" s="2"/>
      <c r="I98" s="2"/>
      <c r="J98" s="1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</row>
    <row r="99" spans="1:67" ht="14.25" customHeight="1" thickBot="1">
      <c r="A99" s="188"/>
      <c r="B99" s="188"/>
      <c r="C99" s="189"/>
      <c r="D99" s="189"/>
      <c r="E99" s="190"/>
      <c r="F99" s="2"/>
      <c r="G99" s="1"/>
      <c r="H99" s="2"/>
      <c r="I99" s="2"/>
      <c r="J99" s="1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</row>
    <row r="100" spans="1:67" ht="14.25" customHeight="1">
      <c r="A100" s="188"/>
      <c r="B100" s="175"/>
      <c r="C100" s="176"/>
      <c r="D100" s="176"/>
      <c r="E100" s="176"/>
      <c r="F100" s="2"/>
      <c r="G100" s="1"/>
      <c r="H100" s="2"/>
      <c r="I100" s="2"/>
      <c r="J100" s="1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</row>
    <row r="101" spans="1:67" ht="14.25" customHeight="1" thickBot="1">
      <c r="A101" s="188"/>
      <c r="B101" s="177" t="s">
        <v>39</v>
      </c>
      <c r="C101" s="178" t="s">
        <v>40</v>
      </c>
      <c r="D101" s="178" t="s">
        <v>41</v>
      </c>
      <c r="E101" s="178" t="s">
        <v>42</v>
      </c>
      <c r="F101" s="2"/>
      <c r="G101" s="1"/>
      <c r="H101" s="2"/>
      <c r="I101" s="2"/>
      <c r="J101" s="1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</row>
    <row r="102" spans="1:67" ht="14.25" customHeight="1" thickBot="1">
      <c r="A102" s="188"/>
      <c r="B102" s="179" t="s">
        <v>158</v>
      </c>
      <c r="C102" s="180" t="s">
        <v>44</v>
      </c>
      <c r="D102" s="180" t="s">
        <v>45</v>
      </c>
      <c r="E102" s="180" t="s">
        <v>159</v>
      </c>
      <c r="F102" s="2"/>
      <c r="G102" s="1"/>
      <c r="H102" s="2"/>
      <c r="I102" s="2"/>
      <c r="J102" s="1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</row>
    <row r="103" spans="1:67" ht="14.25" customHeight="1" thickBot="1">
      <c r="A103" s="188"/>
      <c r="B103" s="179" t="s">
        <v>43</v>
      </c>
      <c r="C103" s="180" t="s">
        <v>44</v>
      </c>
      <c r="D103" s="180" t="s">
        <v>102</v>
      </c>
      <c r="E103" s="180" t="s">
        <v>122</v>
      </c>
      <c r="F103" s="2"/>
      <c r="G103" s="1"/>
      <c r="H103" s="2"/>
      <c r="I103" s="2"/>
      <c r="J103" s="1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</row>
    <row r="104" spans="1:67" ht="14.25" customHeight="1" thickBot="1">
      <c r="A104" s="188"/>
      <c r="B104" s="179" t="s">
        <v>160</v>
      </c>
      <c r="C104" s="180" t="s">
        <v>63</v>
      </c>
      <c r="D104" s="181"/>
      <c r="E104" s="180" t="s">
        <v>161</v>
      </c>
      <c r="F104" s="2"/>
      <c r="G104" s="1"/>
      <c r="H104" s="2"/>
      <c r="I104" s="2"/>
      <c r="J104" s="1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</row>
    <row r="105" spans="1:67" ht="14.25" customHeight="1" thickBot="1">
      <c r="A105" s="188"/>
      <c r="B105" s="179" t="s">
        <v>162</v>
      </c>
      <c r="C105" s="180" t="s">
        <v>163</v>
      </c>
      <c r="D105" s="180" t="s">
        <v>164</v>
      </c>
      <c r="E105" s="180" t="s">
        <v>165</v>
      </c>
      <c r="F105" s="2"/>
      <c r="G105" s="1"/>
      <c r="H105" s="2"/>
      <c r="I105" s="2"/>
      <c r="J105" s="1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</row>
    <row r="106" spans="1:67" ht="14.25" customHeight="1" thickBot="1">
      <c r="A106" s="188"/>
      <c r="B106" s="179" t="s">
        <v>68</v>
      </c>
      <c r="C106" s="180" t="s">
        <v>69</v>
      </c>
      <c r="D106" s="180" t="s">
        <v>70</v>
      </c>
      <c r="E106" s="180" t="s">
        <v>166</v>
      </c>
      <c r="F106" s="2"/>
      <c r="G106" s="1"/>
      <c r="H106" s="2"/>
      <c r="I106" s="2"/>
      <c r="J106" s="1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</row>
    <row r="107" spans="1:67" ht="14.25" customHeight="1">
      <c r="A107" s="188"/>
      <c r="B107" s="188"/>
      <c r="C107" s="189"/>
      <c r="D107" s="189"/>
      <c r="E107" s="190"/>
      <c r="F107" s="2"/>
      <c r="G107" s="1"/>
      <c r="H107" s="2"/>
      <c r="I107" s="2"/>
      <c r="J107" s="1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</row>
    <row r="108" spans="1:67" ht="14.25" customHeight="1">
      <c r="A108" s="188"/>
      <c r="B108" s="188"/>
      <c r="C108" s="189"/>
      <c r="D108" s="189"/>
      <c r="E108" s="190"/>
      <c r="F108" s="2"/>
      <c r="G108" s="1"/>
      <c r="H108" s="2"/>
      <c r="I108" s="2"/>
      <c r="J108" s="1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</row>
    <row r="109" spans="1:67" ht="14.25" customHeight="1" thickBot="1">
      <c r="A109" s="194"/>
      <c r="B109" s="193" t="s">
        <v>167</v>
      </c>
      <c r="C109" s="195"/>
      <c r="D109" s="189"/>
      <c r="E109" s="190"/>
      <c r="F109" s="2"/>
      <c r="G109" s="1"/>
      <c r="H109" s="2"/>
      <c r="I109" s="2"/>
      <c r="J109" s="1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</row>
    <row r="110" spans="1:67" ht="14.25" customHeight="1">
      <c r="A110" s="188"/>
      <c r="B110" s="175"/>
      <c r="C110" s="176"/>
      <c r="D110" s="189"/>
      <c r="E110" s="190"/>
      <c r="F110" s="2"/>
      <c r="G110" s="1"/>
      <c r="H110" s="2"/>
      <c r="I110" s="2"/>
      <c r="J110" s="1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</row>
    <row r="111" spans="1:67" ht="14.25" customHeight="1" thickBot="1">
      <c r="A111" s="188"/>
      <c r="B111" s="177" t="s">
        <v>168</v>
      </c>
      <c r="C111" s="178" t="s">
        <v>42</v>
      </c>
      <c r="D111" s="189"/>
      <c r="E111" s="190"/>
      <c r="F111" s="2"/>
      <c r="G111" s="1"/>
      <c r="H111" s="2"/>
      <c r="I111" s="2"/>
      <c r="J111" s="1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</row>
    <row r="112" spans="1:67" ht="14.25" customHeight="1" thickBot="1">
      <c r="A112" s="188"/>
      <c r="B112" s="179" t="s">
        <v>169</v>
      </c>
      <c r="C112" s="180" t="s">
        <v>170</v>
      </c>
      <c r="D112" s="189"/>
      <c r="E112" s="190"/>
      <c r="F112" s="2"/>
      <c r="G112" s="1"/>
      <c r="H112" s="2"/>
      <c r="I112" s="2"/>
      <c r="J112" s="1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</row>
    <row r="113" spans="1:67" ht="14.25" customHeight="1" thickBot="1">
      <c r="A113" s="188"/>
      <c r="B113" s="179" t="s">
        <v>171</v>
      </c>
      <c r="C113" s="180" t="s">
        <v>172</v>
      </c>
      <c r="D113" s="189"/>
      <c r="E113" s="190"/>
      <c r="F113" s="2"/>
      <c r="G113" s="1"/>
      <c r="H113" s="2"/>
      <c r="I113" s="2"/>
      <c r="J113" s="1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</row>
    <row r="114" spans="1:67" ht="14.25" customHeight="1" thickBot="1">
      <c r="A114" s="2"/>
      <c r="B114" s="165" t="s">
        <v>173</v>
      </c>
      <c r="C114" s="166" t="s">
        <v>174</v>
      </c>
      <c r="D114" s="1"/>
      <c r="E114" s="32"/>
      <c r="F114" s="2"/>
      <c r="G114" s="1"/>
      <c r="H114" s="2"/>
      <c r="I114" s="2"/>
      <c r="J114" s="1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</row>
    <row r="115" spans="1:67" ht="14.25" customHeight="1">
      <c r="A115" s="2"/>
      <c r="B115" s="2"/>
      <c r="C115" s="1"/>
      <c r="D115" s="1"/>
      <c r="E115" s="32"/>
      <c r="F115" s="2"/>
      <c r="G115" s="1"/>
      <c r="H115" s="2"/>
      <c r="I115" s="2"/>
      <c r="J115" s="1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</row>
    <row r="116" spans="1:67" ht="14.25" customHeight="1">
      <c r="A116" s="2"/>
      <c r="B116" s="2"/>
      <c r="C116" s="1"/>
      <c r="D116" s="1"/>
      <c r="E116" s="32"/>
      <c r="F116" s="2"/>
      <c r="G116" s="1"/>
      <c r="H116" s="2"/>
      <c r="I116" s="2"/>
      <c r="J116" s="1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</row>
    <row r="117" spans="1:67" ht="14.25" customHeight="1">
      <c r="A117" s="2"/>
      <c r="B117" s="2"/>
      <c r="C117" s="1"/>
      <c r="D117" s="1"/>
      <c r="E117" s="32"/>
      <c r="F117" s="2"/>
      <c r="G117" s="1"/>
      <c r="H117" s="2"/>
      <c r="I117" s="2"/>
      <c r="J117" s="1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</row>
    <row r="118" spans="1:67" ht="14.25" customHeight="1">
      <c r="A118" s="2"/>
      <c r="B118" s="2"/>
      <c r="C118" s="1"/>
      <c r="D118" s="1"/>
      <c r="E118" s="32"/>
      <c r="F118" s="2"/>
      <c r="G118" s="1"/>
      <c r="H118" s="2"/>
      <c r="I118" s="2"/>
      <c r="J118" s="1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</row>
    <row r="119" spans="1:67" ht="14.25" customHeight="1">
      <c r="A119" s="2"/>
      <c r="B119" s="2"/>
      <c r="C119" s="1"/>
      <c r="D119" s="1"/>
      <c r="E119" s="32"/>
      <c r="F119" s="2"/>
      <c r="G119" s="1"/>
      <c r="H119" s="2"/>
      <c r="I119" s="2"/>
      <c r="J119" s="1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</row>
    <row r="120" spans="1:67" ht="14.25" customHeight="1">
      <c r="A120" s="2"/>
      <c r="B120" s="2"/>
      <c r="C120" s="1"/>
      <c r="D120" s="1"/>
      <c r="E120" s="32"/>
      <c r="F120" s="2"/>
      <c r="G120" s="1"/>
      <c r="H120" s="2"/>
      <c r="I120" s="2"/>
      <c r="J120" s="1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</row>
    <row r="121" spans="1:67" ht="14.25" customHeight="1">
      <c r="A121" s="2"/>
      <c r="B121" s="2"/>
      <c r="C121" s="1"/>
      <c r="D121" s="1"/>
      <c r="E121" s="32"/>
      <c r="F121" s="2"/>
      <c r="G121" s="1"/>
      <c r="H121" s="2"/>
      <c r="I121" s="2"/>
      <c r="J121" s="1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</row>
    <row r="122" spans="1:67" ht="14.25" customHeight="1">
      <c r="A122" s="2"/>
      <c r="B122" s="2"/>
      <c r="C122" s="1"/>
      <c r="D122" s="1"/>
      <c r="E122" s="32"/>
      <c r="F122" s="2"/>
      <c r="G122" s="1"/>
      <c r="H122" s="2"/>
      <c r="I122" s="2"/>
      <c r="J122" s="1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</row>
    <row r="123" spans="1:67" ht="14.25" customHeight="1">
      <c r="A123" s="2"/>
      <c r="B123" s="2"/>
      <c r="C123" s="1"/>
      <c r="D123" s="1"/>
      <c r="E123" s="32"/>
      <c r="F123" s="2"/>
      <c r="G123" s="1"/>
      <c r="H123" s="2"/>
      <c r="I123" s="2"/>
      <c r="J123" s="1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</row>
    <row r="124" spans="1:67" ht="14.25" customHeight="1">
      <c r="A124" s="2"/>
      <c r="B124" s="2"/>
      <c r="C124" s="1"/>
      <c r="D124" s="1"/>
      <c r="E124" s="32"/>
      <c r="F124" s="2"/>
      <c r="G124" s="1"/>
      <c r="H124" s="2"/>
      <c r="I124" s="2"/>
      <c r="J124" s="1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</row>
    <row r="125" spans="1:67" ht="14.25" customHeight="1">
      <c r="A125" s="2"/>
      <c r="B125" s="2"/>
      <c r="C125" s="1"/>
      <c r="D125" s="1"/>
      <c r="E125" s="32"/>
      <c r="F125" s="2"/>
      <c r="G125" s="1"/>
      <c r="H125" s="2"/>
      <c r="I125" s="2"/>
      <c r="J125" s="1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</row>
    <row r="126" spans="1:67" ht="14.25" customHeight="1">
      <c r="A126" s="2"/>
      <c r="B126" s="2"/>
      <c r="C126" s="1"/>
      <c r="D126" s="1"/>
      <c r="E126" s="32"/>
      <c r="F126" s="2"/>
      <c r="G126" s="1"/>
      <c r="H126" s="2"/>
      <c r="I126" s="2"/>
      <c r="J126" s="1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</row>
    <row r="127" spans="1:67" ht="14.25" customHeight="1">
      <c r="A127" s="2"/>
      <c r="B127" s="2"/>
      <c r="C127" s="1"/>
      <c r="D127" s="1"/>
      <c r="E127" s="32"/>
      <c r="F127" s="2"/>
      <c r="G127" s="1"/>
      <c r="H127" s="2"/>
      <c r="I127" s="2"/>
      <c r="J127" s="1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</row>
    <row r="128" spans="1:67" ht="14.25" customHeight="1">
      <c r="A128" s="2"/>
      <c r="B128" s="2"/>
      <c r="C128" s="1"/>
      <c r="D128" s="1"/>
      <c r="E128" s="32"/>
      <c r="F128" s="2"/>
      <c r="G128" s="1"/>
      <c r="H128" s="2"/>
      <c r="I128" s="2"/>
      <c r="J128" s="1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</row>
    <row r="129" spans="1:67" ht="14.25" customHeight="1">
      <c r="A129" s="2"/>
      <c r="B129" s="2"/>
      <c r="C129" s="1"/>
      <c r="D129" s="1"/>
      <c r="E129" s="32"/>
      <c r="F129" s="2"/>
      <c r="G129" s="1"/>
      <c r="H129" s="2"/>
      <c r="I129" s="2"/>
      <c r="J129" s="1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</row>
    <row r="130" spans="1:67" ht="14.25" customHeight="1">
      <c r="A130" s="2"/>
      <c r="B130" s="2"/>
      <c r="C130" s="1"/>
      <c r="D130" s="1"/>
      <c r="E130" s="32"/>
      <c r="F130" s="2"/>
      <c r="G130" s="1"/>
      <c r="H130" s="2"/>
      <c r="I130" s="2"/>
      <c r="J130" s="1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</row>
    <row r="131" spans="1:67" ht="14.25" customHeight="1">
      <c r="A131" s="2"/>
      <c r="B131" s="2"/>
      <c r="C131" s="1"/>
      <c r="D131" s="1"/>
      <c r="E131" s="32"/>
      <c r="F131" s="2"/>
      <c r="G131" s="1"/>
      <c r="H131" s="2"/>
      <c r="I131" s="2"/>
      <c r="J131" s="1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</row>
    <row r="132" spans="1:67" ht="14.25" customHeight="1">
      <c r="A132" s="2"/>
      <c r="B132" s="2"/>
      <c r="C132" s="1"/>
      <c r="D132" s="1"/>
      <c r="E132" s="32"/>
      <c r="F132" s="2"/>
      <c r="G132" s="1"/>
      <c r="H132" s="2"/>
      <c r="I132" s="2"/>
      <c r="J132" s="1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</row>
    <row r="133" spans="1:67" ht="14.25" customHeight="1">
      <c r="A133" s="2"/>
      <c r="B133" s="2"/>
      <c r="C133" s="1"/>
      <c r="D133" s="1"/>
      <c r="E133" s="32"/>
      <c r="F133" s="2"/>
      <c r="G133" s="1"/>
      <c r="H133" s="2"/>
      <c r="I133" s="2"/>
      <c r="J133" s="1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</row>
    <row r="134" spans="1:67" ht="14.25" customHeight="1">
      <c r="A134" s="2"/>
      <c r="B134" s="2"/>
      <c r="C134" s="1"/>
      <c r="D134" s="1"/>
      <c r="E134" s="32"/>
      <c r="F134" s="2"/>
      <c r="G134" s="1"/>
      <c r="H134" s="2"/>
      <c r="I134" s="2"/>
      <c r="J134" s="1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</row>
    <row r="135" spans="1:67" ht="14.25" customHeight="1">
      <c r="A135" s="2"/>
      <c r="B135" s="2"/>
      <c r="C135" s="1"/>
      <c r="D135" s="1"/>
      <c r="E135" s="32"/>
      <c r="F135" s="2"/>
      <c r="G135" s="1"/>
      <c r="H135" s="2"/>
      <c r="I135" s="2"/>
      <c r="J135" s="1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</row>
    <row r="136" spans="1:67" ht="14.25" customHeight="1">
      <c r="A136" s="2"/>
      <c r="B136" s="2"/>
      <c r="C136" s="1"/>
      <c r="D136" s="1"/>
      <c r="E136" s="32"/>
      <c r="F136" s="2"/>
      <c r="G136" s="1"/>
      <c r="H136" s="2"/>
      <c r="I136" s="2"/>
      <c r="J136" s="1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</row>
    <row r="137" spans="1:67" ht="14.25" customHeight="1">
      <c r="A137" s="2"/>
      <c r="B137" s="2"/>
      <c r="C137" s="1"/>
      <c r="D137" s="1"/>
      <c r="E137" s="32"/>
      <c r="F137" s="2"/>
      <c r="G137" s="1"/>
      <c r="H137" s="2"/>
      <c r="I137" s="2"/>
      <c r="J137" s="1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</row>
    <row r="138" spans="1:67" ht="14.25" customHeight="1">
      <c r="A138" s="2"/>
      <c r="B138" s="2"/>
      <c r="C138" s="1"/>
      <c r="D138" s="1"/>
      <c r="E138" s="32"/>
      <c r="F138" s="2"/>
      <c r="G138" s="1"/>
      <c r="H138" s="2"/>
      <c r="I138" s="2"/>
      <c r="J138" s="1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</row>
    <row r="139" spans="1:67" ht="14.25" customHeight="1">
      <c r="A139" s="2"/>
      <c r="B139" s="2"/>
      <c r="C139" s="1"/>
      <c r="D139" s="1"/>
      <c r="E139" s="32"/>
      <c r="F139" s="2"/>
      <c r="G139" s="1"/>
      <c r="H139" s="2"/>
      <c r="I139" s="2"/>
      <c r="J139" s="1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</row>
    <row r="140" spans="1:67" ht="14.25" customHeight="1">
      <c r="A140" s="2"/>
      <c r="B140" s="2"/>
      <c r="C140" s="1"/>
      <c r="D140" s="1"/>
      <c r="E140" s="32"/>
      <c r="F140" s="2"/>
      <c r="G140" s="1"/>
      <c r="H140" s="2"/>
      <c r="I140" s="2"/>
      <c r="J140" s="1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</row>
    <row r="141" spans="1:67" ht="14.25" customHeight="1">
      <c r="A141" s="2"/>
      <c r="B141" s="2"/>
      <c r="C141" s="1"/>
      <c r="D141" s="1"/>
      <c r="E141" s="32"/>
      <c r="F141" s="2"/>
      <c r="G141" s="1"/>
      <c r="H141" s="2"/>
      <c r="I141" s="2"/>
      <c r="J141" s="1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</row>
    <row r="142" spans="1:67" ht="14.25" customHeight="1">
      <c r="A142" s="2"/>
      <c r="B142" s="2"/>
      <c r="C142" s="1"/>
      <c r="D142" s="1"/>
      <c r="E142" s="32"/>
      <c r="F142" s="2"/>
      <c r="G142" s="1"/>
      <c r="H142" s="2"/>
      <c r="I142" s="2"/>
      <c r="J142" s="1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</row>
    <row r="143" spans="1:67" ht="14.25" customHeight="1">
      <c r="A143" s="2"/>
      <c r="B143" s="2"/>
      <c r="C143" s="1"/>
      <c r="D143" s="1"/>
      <c r="E143" s="32"/>
      <c r="F143" s="2"/>
      <c r="G143" s="1"/>
      <c r="H143" s="2"/>
      <c r="I143" s="2"/>
      <c r="J143" s="1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</row>
    <row r="144" spans="1:67" ht="14.25" customHeight="1">
      <c r="A144" s="2"/>
      <c r="B144" s="2"/>
      <c r="C144" s="1"/>
      <c r="D144" s="1"/>
      <c r="E144" s="32"/>
      <c r="F144" s="2"/>
      <c r="G144" s="1"/>
      <c r="H144" s="2"/>
      <c r="I144" s="2"/>
      <c r="J144" s="1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</row>
    <row r="145" spans="1:67" ht="14.25" customHeight="1">
      <c r="A145" s="2"/>
      <c r="B145" s="2"/>
      <c r="C145" s="1"/>
      <c r="D145" s="1"/>
      <c r="E145" s="32"/>
      <c r="F145" s="2"/>
      <c r="G145" s="1"/>
      <c r="H145" s="2"/>
      <c r="I145" s="2"/>
      <c r="J145" s="1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</row>
    <row r="146" spans="1:67" ht="14.25" customHeight="1">
      <c r="A146" s="2"/>
      <c r="B146" s="2"/>
      <c r="C146" s="1"/>
      <c r="D146" s="1"/>
      <c r="E146" s="32"/>
      <c r="F146" s="2"/>
      <c r="G146" s="1"/>
      <c r="H146" s="2"/>
      <c r="I146" s="2"/>
      <c r="J146" s="1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</row>
    <row r="147" spans="1:67" ht="14.25" customHeight="1">
      <c r="A147" s="2"/>
      <c r="B147" s="2"/>
      <c r="C147" s="1"/>
      <c r="D147" s="1"/>
      <c r="E147" s="32"/>
      <c r="F147" s="2"/>
      <c r="G147" s="1"/>
      <c r="H147" s="2"/>
      <c r="I147" s="2"/>
      <c r="J147" s="1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</row>
    <row r="148" spans="1:67" ht="14.25" customHeight="1">
      <c r="A148" s="2"/>
      <c r="B148" s="2"/>
      <c r="C148" s="1"/>
      <c r="D148" s="1"/>
      <c r="E148" s="32"/>
      <c r="F148" s="2"/>
      <c r="G148" s="1"/>
      <c r="H148" s="2"/>
      <c r="I148" s="2"/>
      <c r="J148" s="1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</row>
    <row r="149" spans="1:67" ht="14.25" customHeight="1">
      <c r="A149" s="2"/>
      <c r="B149" s="2"/>
      <c r="C149" s="1"/>
      <c r="D149" s="1"/>
      <c r="E149" s="32"/>
      <c r="F149" s="2"/>
      <c r="G149" s="1"/>
      <c r="H149" s="2"/>
      <c r="I149" s="2"/>
      <c r="J149" s="1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</row>
    <row r="150" spans="1:67" ht="14.25" customHeight="1">
      <c r="A150" s="2"/>
      <c r="B150" s="2"/>
      <c r="C150" s="1"/>
      <c r="D150" s="1"/>
      <c r="E150" s="32"/>
      <c r="F150" s="2"/>
      <c r="G150" s="1"/>
      <c r="H150" s="2"/>
      <c r="I150" s="2"/>
      <c r="J150" s="1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</row>
    <row r="151" spans="1:67" ht="14.25" customHeight="1">
      <c r="A151" s="2"/>
      <c r="B151" s="2"/>
      <c r="C151" s="1"/>
      <c r="D151" s="1"/>
      <c r="E151" s="32"/>
      <c r="F151" s="2"/>
      <c r="G151" s="1"/>
      <c r="H151" s="2"/>
      <c r="I151" s="2"/>
      <c r="J151" s="1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</row>
    <row r="152" spans="1:67" ht="14.25" customHeight="1">
      <c r="A152" s="2"/>
      <c r="B152" s="2"/>
      <c r="C152" s="1"/>
      <c r="D152" s="1"/>
      <c r="E152" s="32"/>
      <c r="F152" s="2"/>
      <c r="G152" s="1"/>
      <c r="H152" s="2"/>
      <c r="I152" s="2"/>
      <c r="J152" s="1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</row>
    <row r="153" spans="1:67" ht="14.25" customHeight="1">
      <c r="A153" s="2"/>
      <c r="B153" s="2"/>
      <c r="C153" s="1"/>
      <c r="D153" s="1"/>
      <c r="E153" s="32"/>
      <c r="F153" s="2"/>
      <c r="G153" s="1"/>
      <c r="H153" s="2"/>
      <c r="I153" s="2"/>
      <c r="J153" s="1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</row>
    <row r="154" spans="1:67" ht="14.25" customHeight="1">
      <c r="A154" s="2"/>
      <c r="B154" s="2"/>
      <c r="C154" s="1"/>
      <c r="D154" s="1"/>
      <c r="E154" s="32"/>
      <c r="F154" s="2"/>
      <c r="G154" s="1"/>
      <c r="H154" s="2"/>
      <c r="I154" s="2"/>
      <c r="J154" s="1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</row>
    <row r="155" spans="1:67" ht="14.25" customHeight="1">
      <c r="A155" s="2"/>
      <c r="B155" s="2"/>
      <c r="C155" s="1"/>
      <c r="D155" s="1"/>
      <c r="E155" s="32"/>
      <c r="F155" s="2"/>
      <c r="G155" s="1"/>
      <c r="H155" s="2"/>
      <c r="I155" s="2"/>
      <c r="J155" s="1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</row>
    <row r="156" spans="1:67" ht="14.25" customHeight="1">
      <c r="A156" s="2"/>
      <c r="B156" s="2"/>
      <c r="C156" s="1"/>
      <c r="D156" s="1"/>
      <c r="E156" s="32"/>
      <c r="F156" s="2"/>
      <c r="G156" s="1"/>
      <c r="H156" s="2"/>
      <c r="I156" s="2"/>
      <c r="J156" s="1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</row>
    <row r="157" spans="1:67" ht="14.25" customHeight="1">
      <c r="A157" s="2"/>
      <c r="B157" s="2"/>
      <c r="C157" s="1"/>
      <c r="D157" s="1"/>
      <c r="E157" s="32"/>
      <c r="F157" s="2"/>
      <c r="G157" s="1"/>
      <c r="H157" s="2"/>
      <c r="I157" s="2"/>
      <c r="J157" s="1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</row>
    <row r="158" spans="1:67" ht="14.25" customHeight="1">
      <c r="A158" s="2"/>
      <c r="B158" s="2"/>
      <c r="C158" s="1"/>
      <c r="D158" s="1"/>
      <c r="E158" s="32"/>
      <c r="F158" s="2"/>
      <c r="G158" s="1"/>
      <c r="H158" s="2"/>
      <c r="I158" s="2"/>
      <c r="J158" s="1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</row>
    <row r="159" spans="1:67" ht="14.25" customHeight="1">
      <c r="A159" s="2"/>
      <c r="B159" s="2"/>
      <c r="C159" s="1"/>
      <c r="D159" s="1"/>
      <c r="E159" s="32"/>
      <c r="F159" s="2"/>
      <c r="G159" s="1"/>
      <c r="H159" s="2"/>
      <c r="I159" s="2"/>
      <c r="J159" s="1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</row>
    <row r="160" spans="1:67" ht="14.25" customHeight="1">
      <c r="A160" s="2"/>
      <c r="B160" s="2"/>
      <c r="C160" s="1"/>
      <c r="D160" s="1"/>
      <c r="E160" s="32"/>
      <c r="F160" s="2"/>
      <c r="G160" s="1"/>
      <c r="H160" s="2"/>
      <c r="I160" s="2"/>
      <c r="J160" s="1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</row>
    <row r="161" spans="1:67" ht="14.25" customHeight="1">
      <c r="A161" s="2"/>
      <c r="B161" s="2"/>
      <c r="C161" s="1"/>
      <c r="D161" s="1"/>
      <c r="E161" s="32"/>
      <c r="F161" s="2"/>
      <c r="G161" s="1"/>
      <c r="H161" s="2"/>
      <c r="I161" s="2"/>
      <c r="J161" s="1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</row>
    <row r="162" spans="1:67" ht="14.25" customHeight="1">
      <c r="A162" s="2"/>
      <c r="B162" s="2"/>
      <c r="C162" s="1"/>
      <c r="D162" s="1"/>
      <c r="E162" s="32"/>
      <c r="F162" s="2"/>
      <c r="G162" s="1"/>
      <c r="H162" s="2"/>
      <c r="I162" s="2"/>
      <c r="J162" s="1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</row>
    <row r="163" spans="1:67" ht="14.25" customHeight="1">
      <c r="A163" s="2"/>
      <c r="B163" s="2"/>
      <c r="C163" s="1"/>
      <c r="D163" s="1"/>
      <c r="E163" s="32"/>
      <c r="F163" s="2"/>
      <c r="G163" s="1"/>
      <c r="H163" s="2"/>
      <c r="I163" s="2"/>
      <c r="J163" s="1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</row>
    <row r="164" spans="1:67" ht="14.25" customHeight="1">
      <c r="A164" s="2"/>
      <c r="B164" s="2"/>
      <c r="C164" s="1"/>
      <c r="D164" s="1"/>
      <c r="E164" s="32"/>
      <c r="F164" s="2"/>
      <c r="G164" s="1"/>
      <c r="H164" s="2"/>
      <c r="I164" s="2"/>
      <c r="J164" s="1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</row>
    <row r="165" spans="1:67" ht="14.25" customHeight="1">
      <c r="A165" s="2"/>
      <c r="B165" s="2"/>
      <c r="C165" s="1"/>
      <c r="D165" s="1"/>
      <c r="E165" s="32"/>
      <c r="F165" s="2"/>
      <c r="G165" s="1"/>
      <c r="H165" s="2"/>
      <c r="I165" s="2"/>
      <c r="J165" s="1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</row>
    <row r="166" spans="1:67" ht="14.25" customHeight="1">
      <c r="A166" s="2"/>
      <c r="B166" s="2"/>
      <c r="C166" s="1"/>
      <c r="D166" s="1"/>
      <c r="E166" s="32"/>
      <c r="F166" s="2"/>
      <c r="G166" s="1"/>
      <c r="H166" s="2"/>
      <c r="I166" s="2"/>
      <c r="J166" s="1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</row>
    <row r="167" spans="1:67" ht="14.25" customHeight="1">
      <c r="A167" s="2"/>
      <c r="B167" s="2"/>
      <c r="C167" s="1"/>
      <c r="D167" s="1"/>
      <c r="E167" s="32"/>
      <c r="F167" s="2"/>
      <c r="G167" s="1"/>
      <c r="H167" s="2"/>
      <c r="I167" s="2"/>
      <c r="J167" s="1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</row>
    <row r="168" spans="1:67" ht="14.25" customHeight="1">
      <c r="A168" s="2"/>
      <c r="B168" s="2"/>
      <c r="C168" s="1"/>
      <c r="D168" s="1"/>
      <c r="E168" s="32"/>
      <c r="F168" s="2"/>
      <c r="G168" s="1"/>
      <c r="H168" s="2"/>
      <c r="I168" s="2"/>
      <c r="J168" s="1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</row>
    <row r="169" spans="1:67" ht="14.25" customHeight="1">
      <c r="A169" s="2"/>
      <c r="B169" s="2"/>
      <c r="C169" s="1"/>
      <c r="D169" s="1"/>
      <c r="E169" s="32"/>
      <c r="F169" s="2"/>
      <c r="G169" s="1"/>
      <c r="H169" s="2"/>
      <c r="I169" s="2"/>
      <c r="J169" s="1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</row>
    <row r="170" spans="1:67" ht="14.25" customHeight="1">
      <c r="A170" s="2"/>
      <c r="B170" s="2"/>
      <c r="C170" s="1"/>
      <c r="D170" s="1"/>
      <c r="E170" s="32"/>
      <c r="F170" s="2"/>
      <c r="G170" s="1"/>
      <c r="H170" s="2"/>
      <c r="I170" s="2"/>
      <c r="J170" s="1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</row>
    <row r="171" spans="1:67" ht="14.25" customHeight="1">
      <c r="A171" s="2"/>
      <c r="B171" s="2"/>
      <c r="C171" s="1"/>
      <c r="D171" s="1"/>
      <c r="E171" s="32"/>
      <c r="F171" s="2"/>
      <c r="G171" s="1"/>
      <c r="H171" s="2"/>
      <c r="I171" s="2"/>
      <c r="J171" s="1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</row>
    <row r="172" spans="1:67" ht="14.25" customHeight="1">
      <c r="A172" s="2"/>
      <c r="B172" s="2"/>
      <c r="C172" s="1"/>
      <c r="D172" s="1"/>
      <c r="E172" s="32"/>
      <c r="F172" s="2"/>
      <c r="G172" s="1"/>
      <c r="H172" s="2"/>
      <c r="I172" s="2"/>
      <c r="J172" s="1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</row>
    <row r="173" spans="1:67" ht="14.25" customHeight="1">
      <c r="A173" s="2"/>
      <c r="B173" s="2"/>
      <c r="C173" s="1"/>
      <c r="D173" s="1"/>
      <c r="E173" s="32"/>
      <c r="F173" s="2"/>
      <c r="G173" s="1"/>
      <c r="H173" s="2"/>
      <c r="I173" s="2"/>
      <c r="J173" s="1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</row>
    <row r="174" spans="1:67" ht="14.25" customHeight="1">
      <c r="A174" s="2"/>
      <c r="B174" s="2"/>
      <c r="C174" s="1"/>
      <c r="D174" s="1"/>
      <c r="E174" s="32"/>
      <c r="F174" s="2"/>
      <c r="G174" s="1"/>
      <c r="H174" s="2"/>
      <c r="I174" s="2"/>
      <c r="J174" s="1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</row>
    <row r="175" spans="1:67" ht="14.25" customHeight="1">
      <c r="A175" s="2"/>
      <c r="B175" s="2"/>
      <c r="C175" s="1"/>
      <c r="D175" s="1"/>
      <c r="E175" s="32"/>
      <c r="F175" s="2"/>
      <c r="G175" s="1"/>
      <c r="H175" s="2"/>
      <c r="I175" s="2"/>
      <c r="J175" s="1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</row>
    <row r="176" spans="1:67" ht="14.25" customHeight="1">
      <c r="A176" s="2"/>
      <c r="B176" s="2"/>
      <c r="C176" s="1"/>
      <c r="D176" s="1"/>
      <c r="E176" s="32"/>
      <c r="F176" s="2"/>
      <c r="G176" s="1"/>
      <c r="H176" s="2"/>
      <c r="I176" s="2"/>
      <c r="J176" s="1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</row>
    <row r="177" spans="1:67" ht="14.25" customHeight="1">
      <c r="A177" s="2"/>
      <c r="B177" s="2"/>
      <c r="C177" s="1"/>
      <c r="D177" s="1"/>
      <c r="E177" s="32"/>
      <c r="F177" s="2"/>
      <c r="G177" s="1"/>
      <c r="H177" s="2"/>
      <c r="I177" s="2"/>
      <c r="J177" s="1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</row>
    <row r="178" spans="1:67" ht="14.25" customHeight="1">
      <c r="A178" s="2"/>
      <c r="B178" s="2"/>
      <c r="C178" s="1"/>
      <c r="D178" s="1"/>
      <c r="E178" s="32"/>
      <c r="F178" s="2"/>
      <c r="G178" s="1"/>
      <c r="H178" s="2"/>
      <c r="I178" s="2"/>
      <c r="J178" s="1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</row>
    <row r="179" spans="1:67" ht="14.25" customHeight="1">
      <c r="A179" s="2"/>
      <c r="B179" s="2"/>
      <c r="C179" s="1"/>
      <c r="D179" s="1"/>
      <c r="E179" s="32"/>
      <c r="F179" s="2"/>
      <c r="G179" s="1"/>
      <c r="H179" s="2"/>
      <c r="I179" s="2"/>
      <c r="J179" s="1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</row>
    <row r="180" spans="1:67" ht="14.25" customHeight="1">
      <c r="A180" s="2"/>
      <c r="B180" s="2"/>
      <c r="C180" s="1"/>
      <c r="D180" s="1"/>
      <c r="E180" s="32"/>
      <c r="F180" s="2"/>
      <c r="G180" s="1"/>
      <c r="H180" s="2"/>
      <c r="I180" s="2"/>
      <c r="J180" s="1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</row>
    <row r="181" spans="1:67" ht="14.25" customHeight="1">
      <c r="A181" s="2"/>
      <c r="B181" s="2"/>
      <c r="C181" s="1"/>
      <c r="D181" s="1"/>
      <c r="E181" s="32"/>
      <c r="F181" s="2"/>
      <c r="G181" s="1"/>
      <c r="H181" s="2"/>
      <c r="I181" s="2"/>
      <c r="J181" s="1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</row>
    <row r="182" spans="1:67" ht="14.25" customHeight="1">
      <c r="A182" s="2"/>
      <c r="B182" s="2"/>
      <c r="C182" s="1"/>
      <c r="D182" s="1"/>
      <c r="E182" s="32"/>
      <c r="F182" s="2"/>
      <c r="G182" s="1"/>
      <c r="H182" s="2"/>
      <c r="I182" s="2"/>
      <c r="J182" s="1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</row>
    <row r="183" spans="1:67" ht="14.25" customHeight="1">
      <c r="A183" s="2"/>
      <c r="B183" s="2"/>
      <c r="C183" s="1"/>
      <c r="D183" s="1"/>
      <c r="E183" s="32"/>
      <c r="F183" s="2"/>
      <c r="G183" s="1"/>
      <c r="H183" s="2"/>
      <c r="I183" s="2"/>
      <c r="J183" s="1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</row>
    <row r="184" spans="1:67" ht="14.25" customHeight="1">
      <c r="A184" s="2"/>
      <c r="B184" s="2"/>
      <c r="C184" s="1"/>
      <c r="D184" s="1"/>
      <c r="E184" s="32"/>
      <c r="F184" s="2"/>
      <c r="G184" s="1"/>
      <c r="H184" s="2"/>
      <c r="I184" s="2"/>
      <c r="J184" s="1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</row>
    <row r="185" spans="1:67" ht="14.25" customHeight="1">
      <c r="A185" s="2"/>
      <c r="B185" s="2"/>
      <c r="C185" s="1"/>
      <c r="D185" s="1"/>
      <c r="E185" s="32"/>
      <c r="F185" s="2"/>
      <c r="G185" s="1"/>
      <c r="H185" s="2"/>
      <c r="I185" s="2"/>
      <c r="J185" s="1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</row>
    <row r="186" spans="1:67" ht="14.25" customHeight="1">
      <c r="A186" s="2"/>
      <c r="B186" s="2"/>
      <c r="C186" s="1"/>
      <c r="D186" s="1"/>
      <c r="E186" s="32"/>
      <c r="F186" s="2"/>
      <c r="G186" s="1"/>
      <c r="H186" s="2"/>
      <c r="I186" s="2"/>
      <c r="J186" s="1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</row>
    <row r="187" spans="1:67" ht="14.25" customHeight="1">
      <c r="A187" s="2"/>
      <c r="B187" s="2"/>
      <c r="C187" s="1"/>
      <c r="D187" s="1"/>
      <c r="E187" s="32"/>
      <c r="F187" s="2"/>
      <c r="G187" s="1"/>
      <c r="H187" s="2"/>
      <c r="I187" s="2"/>
      <c r="J187" s="1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</row>
    <row r="188" spans="1:67" ht="14.25" customHeight="1">
      <c r="A188" s="2"/>
      <c r="B188" s="2"/>
      <c r="C188" s="1"/>
      <c r="D188" s="1"/>
      <c r="E188" s="32"/>
      <c r="F188" s="2"/>
      <c r="G188" s="1"/>
      <c r="H188" s="2"/>
      <c r="I188" s="2"/>
      <c r="J188" s="1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</row>
    <row r="189" spans="1:67" ht="14.25" customHeight="1">
      <c r="A189" s="2"/>
      <c r="B189" s="2"/>
      <c r="C189" s="1"/>
      <c r="D189" s="1"/>
      <c r="E189" s="32"/>
      <c r="F189" s="2"/>
      <c r="G189" s="1"/>
      <c r="H189" s="2"/>
      <c r="I189" s="2"/>
      <c r="J189" s="1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</row>
    <row r="190" spans="1:67" ht="14.25" customHeight="1">
      <c r="A190" s="2"/>
      <c r="B190" s="2"/>
      <c r="C190" s="1"/>
      <c r="D190" s="1"/>
      <c r="E190" s="32"/>
      <c r="F190" s="2"/>
      <c r="G190" s="1"/>
      <c r="H190" s="2"/>
      <c r="I190" s="2"/>
      <c r="J190" s="1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</row>
    <row r="191" spans="1:67" ht="14.25" customHeight="1">
      <c r="A191" s="2"/>
      <c r="B191" s="2"/>
      <c r="C191" s="1"/>
      <c r="D191" s="1"/>
      <c r="E191" s="32"/>
      <c r="F191" s="2"/>
      <c r="G191" s="1"/>
      <c r="H191" s="2"/>
      <c r="I191" s="2"/>
      <c r="J191" s="1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</row>
    <row r="192" spans="1:67" ht="14.25" customHeight="1">
      <c r="A192" s="2"/>
      <c r="B192" s="2"/>
      <c r="C192" s="1"/>
      <c r="D192" s="1"/>
      <c r="E192" s="32"/>
      <c r="F192" s="2"/>
      <c r="G192" s="1"/>
      <c r="H192" s="2"/>
      <c r="I192" s="2"/>
      <c r="J192" s="1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</row>
    <row r="193" spans="1:67" ht="14.25" customHeight="1">
      <c r="A193" s="2"/>
      <c r="B193" s="2"/>
      <c r="C193" s="1"/>
      <c r="D193" s="1"/>
      <c r="E193" s="32"/>
      <c r="F193" s="2"/>
      <c r="G193" s="1"/>
      <c r="H193" s="2"/>
      <c r="I193" s="2"/>
      <c r="J193" s="1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</row>
    <row r="194" spans="1:67" ht="14.25" customHeight="1">
      <c r="A194" s="2"/>
      <c r="B194" s="2"/>
      <c r="C194" s="1"/>
      <c r="D194" s="1"/>
      <c r="E194" s="32"/>
      <c r="F194" s="2"/>
      <c r="G194" s="1"/>
      <c r="H194" s="2"/>
      <c r="I194" s="2"/>
      <c r="J194" s="1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</row>
    <row r="195" spans="1:67" ht="14.25" customHeight="1">
      <c r="A195" s="2"/>
      <c r="B195" s="2"/>
      <c r="C195" s="1"/>
      <c r="D195" s="1"/>
      <c r="E195" s="32"/>
      <c r="F195" s="2"/>
      <c r="G195" s="1"/>
      <c r="H195" s="2"/>
      <c r="I195" s="2"/>
      <c r="J195" s="1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</row>
    <row r="196" spans="1:67" ht="14.25" customHeight="1">
      <c r="A196" s="2"/>
      <c r="B196" s="2"/>
      <c r="C196" s="1"/>
      <c r="D196" s="1"/>
      <c r="E196" s="32"/>
      <c r="F196" s="2"/>
      <c r="G196" s="1"/>
      <c r="H196" s="2"/>
      <c r="I196" s="2"/>
      <c r="J196" s="1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</row>
    <row r="197" spans="1:67" ht="14.25" customHeight="1">
      <c r="A197" s="2"/>
      <c r="B197" s="2"/>
      <c r="C197" s="1"/>
      <c r="D197" s="1"/>
      <c r="E197" s="32"/>
      <c r="F197" s="2"/>
      <c r="G197" s="1"/>
      <c r="H197" s="2"/>
      <c r="I197" s="2"/>
      <c r="J197" s="1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</row>
    <row r="198" spans="1:67" ht="14.25" customHeight="1">
      <c r="A198" s="2"/>
      <c r="B198" s="2"/>
      <c r="C198" s="1"/>
      <c r="D198" s="1"/>
      <c r="E198" s="32"/>
      <c r="F198" s="2"/>
      <c r="G198" s="1"/>
      <c r="H198" s="2"/>
      <c r="I198" s="2"/>
      <c r="J198" s="1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</row>
    <row r="199" spans="1:67" ht="14.25" customHeight="1">
      <c r="A199" s="2"/>
      <c r="B199" s="2"/>
      <c r="C199" s="1"/>
      <c r="D199" s="1"/>
      <c r="E199" s="32"/>
      <c r="F199" s="2"/>
      <c r="G199" s="1"/>
      <c r="H199" s="2"/>
      <c r="I199" s="2"/>
      <c r="J199" s="1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</row>
    <row r="200" spans="1:67" ht="14.25" customHeight="1">
      <c r="A200" s="2"/>
      <c r="B200" s="2"/>
      <c r="C200" s="1"/>
      <c r="D200" s="1"/>
      <c r="E200" s="32"/>
      <c r="F200" s="2"/>
      <c r="G200" s="1"/>
      <c r="H200" s="2"/>
      <c r="I200" s="2"/>
      <c r="J200" s="1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</row>
    <row r="201" spans="1:67" ht="14.25" customHeight="1">
      <c r="A201" s="2"/>
      <c r="B201" s="2"/>
      <c r="C201" s="1"/>
      <c r="D201" s="1"/>
      <c r="E201" s="32"/>
      <c r="F201" s="2"/>
      <c r="G201" s="1"/>
      <c r="H201" s="2"/>
      <c r="I201" s="2"/>
      <c r="J201" s="1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</row>
    <row r="202" spans="1:67" ht="14.25" customHeight="1">
      <c r="A202" s="2"/>
      <c r="B202" s="2"/>
      <c r="C202" s="1"/>
      <c r="D202" s="1"/>
      <c r="E202" s="32"/>
      <c r="F202" s="2"/>
      <c r="G202" s="1"/>
      <c r="H202" s="2"/>
      <c r="I202" s="2"/>
      <c r="J202" s="1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</row>
    <row r="203" spans="1:67" ht="14.25" customHeight="1">
      <c r="A203" s="2"/>
      <c r="B203" s="2"/>
      <c r="C203" s="1"/>
      <c r="D203" s="1"/>
      <c r="E203" s="32"/>
      <c r="F203" s="2"/>
      <c r="G203" s="1"/>
      <c r="H203" s="2"/>
      <c r="I203" s="2"/>
      <c r="J203" s="1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</row>
    <row r="204" spans="1:67" ht="14.25" customHeight="1">
      <c r="A204" s="2"/>
      <c r="B204" s="2"/>
      <c r="C204" s="1"/>
      <c r="D204" s="1"/>
      <c r="E204" s="32"/>
      <c r="F204" s="2"/>
      <c r="G204" s="1"/>
      <c r="H204" s="2"/>
      <c r="I204" s="2"/>
      <c r="J204" s="1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</row>
    <row r="205" spans="1:67" ht="14.25" customHeight="1">
      <c r="A205" s="2"/>
      <c r="B205" s="2"/>
      <c r="C205" s="1"/>
      <c r="D205" s="1"/>
      <c r="E205" s="32"/>
      <c r="F205" s="2"/>
      <c r="G205" s="1"/>
      <c r="H205" s="2"/>
      <c r="I205" s="2"/>
      <c r="J205" s="1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</row>
    <row r="206" spans="1:67" ht="14.25" customHeight="1">
      <c r="A206" s="2"/>
      <c r="B206" s="2"/>
      <c r="C206" s="1"/>
      <c r="D206" s="1"/>
      <c r="E206" s="32"/>
      <c r="F206" s="2"/>
      <c r="G206" s="1"/>
      <c r="H206" s="2"/>
      <c r="I206" s="2"/>
      <c r="J206" s="1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</row>
    <row r="207" spans="1:67" ht="14.25" customHeight="1">
      <c r="A207" s="2"/>
      <c r="B207" s="2"/>
      <c r="C207" s="1"/>
      <c r="D207" s="1"/>
      <c r="E207" s="32"/>
      <c r="F207" s="2"/>
      <c r="G207" s="1"/>
      <c r="H207" s="2"/>
      <c r="I207" s="2"/>
      <c r="J207" s="1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</row>
    <row r="208" spans="1:67" ht="14.25" customHeight="1">
      <c r="A208" s="2"/>
      <c r="B208" s="2"/>
      <c r="C208" s="1"/>
      <c r="D208" s="1"/>
      <c r="E208" s="32"/>
      <c r="F208" s="2"/>
      <c r="G208" s="1"/>
      <c r="H208" s="2"/>
      <c r="I208" s="2"/>
      <c r="J208" s="1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</row>
    <row r="209" spans="1:67" ht="14.25" customHeight="1">
      <c r="A209" s="2"/>
      <c r="B209" s="2"/>
      <c r="C209" s="1"/>
      <c r="D209" s="1"/>
      <c r="E209" s="32"/>
      <c r="F209" s="2"/>
      <c r="G209" s="1"/>
      <c r="H209" s="2"/>
      <c r="I209" s="2"/>
      <c r="J209" s="1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</row>
    <row r="210" spans="1:67" ht="14.25" customHeight="1">
      <c r="A210" s="2"/>
      <c r="B210" s="2"/>
      <c r="C210" s="1"/>
      <c r="D210" s="1"/>
      <c r="E210" s="32"/>
      <c r="F210" s="2"/>
      <c r="G210" s="1"/>
      <c r="H210" s="2"/>
      <c r="I210" s="2"/>
      <c r="J210" s="1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</row>
    <row r="211" spans="1:67" ht="15.7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</row>
    <row r="212" spans="1:67" ht="15.7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</row>
    <row r="213" spans="1:67" ht="15.7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</row>
    <row r="214" spans="1:67" ht="15.7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33"/>
      <c r="BJ214" s="33"/>
      <c r="BK214" s="33"/>
      <c r="BL214" s="33"/>
      <c r="BM214" s="33"/>
      <c r="BN214" s="33"/>
      <c r="BO214" s="33"/>
    </row>
    <row r="215" spans="1:67" ht="15.7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33"/>
      <c r="BJ215" s="33"/>
      <c r="BK215" s="33"/>
      <c r="BL215" s="33"/>
      <c r="BM215" s="33"/>
      <c r="BN215" s="33"/>
      <c r="BO215" s="33"/>
    </row>
    <row r="216" spans="1:67" ht="15.7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33"/>
      <c r="BJ216" s="33"/>
      <c r="BK216" s="33"/>
      <c r="BL216" s="33"/>
      <c r="BM216" s="33"/>
      <c r="BN216" s="33"/>
      <c r="BO216" s="33"/>
    </row>
    <row r="217" spans="1:67" ht="15.7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33"/>
      <c r="BJ217" s="33"/>
      <c r="BK217" s="33"/>
      <c r="BL217" s="33"/>
      <c r="BM217" s="33"/>
      <c r="BN217" s="33"/>
      <c r="BO217" s="33"/>
    </row>
    <row r="218" spans="1:67" ht="15.7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33"/>
      <c r="BJ218" s="33"/>
      <c r="BK218" s="33"/>
      <c r="BL218" s="33"/>
      <c r="BM218" s="33"/>
      <c r="BN218" s="33"/>
      <c r="BO218" s="33"/>
    </row>
    <row r="219" spans="1:67" ht="15.7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33"/>
      <c r="BJ219" s="33"/>
      <c r="BK219" s="33"/>
      <c r="BL219" s="33"/>
      <c r="BM219" s="33"/>
      <c r="BN219" s="33"/>
      <c r="BO219" s="33"/>
    </row>
    <row r="220" spans="1:67" ht="15.7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33"/>
      <c r="BJ220" s="33"/>
      <c r="BK220" s="33"/>
      <c r="BL220" s="33"/>
      <c r="BM220" s="33"/>
      <c r="BN220" s="33"/>
      <c r="BO220" s="33"/>
    </row>
    <row r="221" spans="1:67" ht="15.7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  <c r="BH221" s="33"/>
      <c r="BI221" s="33"/>
      <c r="BJ221" s="33"/>
      <c r="BK221" s="33"/>
      <c r="BL221" s="33"/>
      <c r="BM221" s="33"/>
      <c r="BN221" s="33"/>
      <c r="BO221" s="33"/>
    </row>
    <row r="222" spans="1:67" ht="15.7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  <c r="BH222" s="33"/>
      <c r="BI222" s="33"/>
      <c r="BJ222" s="33"/>
      <c r="BK222" s="33"/>
      <c r="BL222" s="33"/>
      <c r="BM222" s="33"/>
      <c r="BN222" s="33"/>
      <c r="BO222" s="33"/>
    </row>
    <row r="223" spans="1:67" ht="15.7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  <c r="BH223" s="33"/>
      <c r="BI223" s="33"/>
      <c r="BJ223" s="33"/>
      <c r="BK223" s="33"/>
      <c r="BL223" s="33"/>
      <c r="BM223" s="33"/>
      <c r="BN223" s="33"/>
      <c r="BO223" s="33"/>
    </row>
    <row r="224" spans="1:67" ht="15.7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33"/>
      <c r="BK224" s="33"/>
      <c r="BL224" s="33"/>
      <c r="BM224" s="33"/>
      <c r="BN224" s="33"/>
      <c r="BO224" s="33"/>
    </row>
    <row r="225" spans="1:67" ht="15.7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  <c r="BH225" s="33"/>
      <c r="BI225" s="33"/>
      <c r="BJ225" s="33"/>
      <c r="BK225" s="33"/>
      <c r="BL225" s="33"/>
      <c r="BM225" s="33"/>
      <c r="BN225" s="33"/>
      <c r="BO225" s="33"/>
    </row>
    <row r="226" spans="1:67" ht="15.7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  <c r="BH226" s="33"/>
      <c r="BI226" s="33"/>
      <c r="BJ226" s="33"/>
      <c r="BK226" s="33"/>
      <c r="BL226" s="33"/>
      <c r="BM226" s="33"/>
      <c r="BN226" s="33"/>
      <c r="BO226" s="33"/>
    </row>
    <row r="227" spans="1:67" ht="15.7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  <c r="BH227" s="33"/>
      <c r="BI227" s="33"/>
      <c r="BJ227" s="33"/>
      <c r="BK227" s="33"/>
      <c r="BL227" s="33"/>
      <c r="BM227" s="33"/>
      <c r="BN227" s="33"/>
      <c r="BO227" s="33"/>
    </row>
    <row r="228" spans="1:67" ht="15.7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  <c r="BH228" s="33"/>
      <c r="BI228" s="33"/>
      <c r="BJ228" s="33"/>
      <c r="BK228" s="33"/>
      <c r="BL228" s="33"/>
      <c r="BM228" s="33"/>
      <c r="BN228" s="33"/>
      <c r="BO228" s="33"/>
    </row>
    <row r="229" spans="1:67" ht="15.7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  <c r="BH229" s="33"/>
      <c r="BI229" s="33"/>
      <c r="BJ229" s="33"/>
      <c r="BK229" s="33"/>
      <c r="BL229" s="33"/>
      <c r="BM229" s="33"/>
      <c r="BN229" s="33"/>
      <c r="BO229" s="33"/>
    </row>
    <row r="230" spans="1:67" ht="15.7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  <c r="BH230" s="33"/>
      <c r="BI230" s="33"/>
      <c r="BJ230" s="33"/>
      <c r="BK230" s="33"/>
      <c r="BL230" s="33"/>
      <c r="BM230" s="33"/>
      <c r="BN230" s="33"/>
      <c r="BO230" s="33"/>
    </row>
    <row r="231" spans="1:67" ht="15.7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  <c r="BH231" s="33"/>
      <c r="BI231" s="33"/>
      <c r="BJ231" s="33"/>
      <c r="BK231" s="33"/>
      <c r="BL231" s="33"/>
      <c r="BM231" s="33"/>
      <c r="BN231" s="33"/>
      <c r="BO231" s="33"/>
    </row>
    <row r="232" spans="1:67" ht="15.7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  <c r="BH232" s="33"/>
      <c r="BI232" s="33"/>
      <c r="BJ232" s="33"/>
      <c r="BK232" s="33"/>
      <c r="BL232" s="33"/>
      <c r="BM232" s="33"/>
      <c r="BN232" s="33"/>
      <c r="BO232" s="33"/>
    </row>
    <row r="233" spans="1:67" ht="15.7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  <c r="BH233" s="33"/>
      <c r="BI233" s="33"/>
      <c r="BJ233" s="33"/>
      <c r="BK233" s="33"/>
      <c r="BL233" s="33"/>
      <c r="BM233" s="33"/>
      <c r="BN233" s="33"/>
      <c r="BO233" s="33"/>
    </row>
    <row r="234" spans="1:67" ht="15.7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  <c r="BH234" s="33"/>
      <c r="BI234" s="33"/>
      <c r="BJ234" s="33"/>
      <c r="BK234" s="33"/>
      <c r="BL234" s="33"/>
      <c r="BM234" s="33"/>
      <c r="BN234" s="33"/>
      <c r="BO234" s="33"/>
    </row>
    <row r="235" spans="1:67" ht="15.7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  <c r="BH235" s="33"/>
      <c r="BI235" s="33"/>
      <c r="BJ235" s="33"/>
      <c r="BK235" s="33"/>
      <c r="BL235" s="33"/>
      <c r="BM235" s="33"/>
      <c r="BN235" s="33"/>
      <c r="BO235" s="33"/>
    </row>
    <row r="236" spans="1:67" ht="15.7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  <c r="BH236" s="33"/>
      <c r="BI236" s="33"/>
      <c r="BJ236" s="33"/>
      <c r="BK236" s="33"/>
      <c r="BL236" s="33"/>
      <c r="BM236" s="33"/>
      <c r="BN236" s="33"/>
      <c r="BO236" s="33"/>
    </row>
    <row r="237" spans="1:67" ht="15.7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  <c r="BH237" s="33"/>
      <c r="BI237" s="33"/>
      <c r="BJ237" s="33"/>
      <c r="BK237" s="33"/>
      <c r="BL237" s="33"/>
      <c r="BM237" s="33"/>
      <c r="BN237" s="33"/>
      <c r="BO237" s="33"/>
    </row>
    <row r="238" spans="1:67" ht="15.7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  <c r="BH238" s="33"/>
      <c r="BI238" s="33"/>
      <c r="BJ238" s="33"/>
      <c r="BK238" s="33"/>
      <c r="BL238" s="33"/>
      <c r="BM238" s="33"/>
      <c r="BN238" s="33"/>
      <c r="BO238" s="33"/>
    </row>
    <row r="239" spans="1:67" ht="15.7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  <c r="BH239" s="33"/>
      <c r="BI239" s="33"/>
      <c r="BJ239" s="33"/>
      <c r="BK239" s="33"/>
      <c r="BL239" s="33"/>
      <c r="BM239" s="33"/>
      <c r="BN239" s="33"/>
      <c r="BO239" s="33"/>
    </row>
    <row r="240" spans="1:67" ht="15.7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  <c r="BH240" s="33"/>
      <c r="BI240" s="33"/>
      <c r="BJ240" s="33"/>
      <c r="BK240" s="33"/>
      <c r="BL240" s="33"/>
      <c r="BM240" s="33"/>
      <c r="BN240" s="33"/>
      <c r="BO240" s="33"/>
    </row>
    <row r="241" spans="1:67" ht="15.7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  <c r="BH241" s="33"/>
      <c r="BI241" s="33"/>
      <c r="BJ241" s="33"/>
      <c r="BK241" s="33"/>
      <c r="BL241" s="33"/>
      <c r="BM241" s="33"/>
      <c r="BN241" s="33"/>
      <c r="BO241" s="33"/>
    </row>
    <row r="242" spans="1:67" ht="15.7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  <c r="BH242" s="33"/>
      <c r="BI242" s="33"/>
      <c r="BJ242" s="33"/>
      <c r="BK242" s="33"/>
      <c r="BL242" s="33"/>
      <c r="BM242" s="33"/>
      <c r="BN242" s="33"/>
      <c r="BO242" s="33"/>
    </row>
    <row r="243" spans="1:67" ht="15.7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  <c r="BH243" s="33"/>
      <c r="BI243" s="33"/>
      <c r="BJ243" s="33"/>
      <c r="BK243" s="33"/>
      <c r="BL243" s="33"/>
      <c r="BM243" s="33"/>
      <c r="BN243" s="33"/>
      <c r="BO243" s="33"/>
    </row>
    <row r="244" spans="1:67" ht="15.7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  <c r="BH244" s="33"/>
      <c r="BI244" s="33"/>
      <c r="BJ244" s="33"/>
      <c r="BK244" s="33"/>
      <c r="BL244" s="33"/>
      <c r="BM244" s="33"/>
      <c r="BN244" s="33"/>
      <c r="BO244" s="33"/>
    </row>
    <row r="245" spans="1:67" ht="15.7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  <c r="BH245" s="33"/>
      <c r="BI245" s="33"/>
      <c r="BJ245" s="33"/>
      <c r="BK245" s="33"/>
      <c r="BL245" s="33"/>
      <c r="BM245" s="33"/>
      <c r="BN245" s="33"/>
      <c r="BO245" s="33"/>
    </row>
    <row r="246" spans="1:67" ht="15.7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  <c r="BH246" s="33"/>
      <c r="BI246" s="33"/>
      <c r="BJ246" s="33"/>
      <c r="BK246" s="33"/>
      <c r="BL246" s="33"/>
      <c r="BM246" s="33"/>
      <c r="BN246" s="33"/>
      <c r="BO246" s="33"/>
    </row>
    <row r="247" spans="1:67" ht="15.7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  <c r="BH247" s="33"/>
      <c r="BI247" s="33"/>
      <c r="BJ247" s="33"/>
      <c r="BK247" s="33"/>
      <c r="BL247" s="33"/>
      <c r="BM247" s="33"/>
      <c r="BN247" s="33"/>
      <c r="BO247" s="33"/>
    </row>
    <row r="248" spans="1:67" ht="15.7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  <c r="BH248" s="33"/>
      <c r="BI248" s="33"/>
      <c r="BJ248" s="33"/>
      <c r="BK248" s="33"/>
      <c r="BL248" s="33"/>
      <c r="BM248" s="33"/>
      <c r="BN248" s="33"/>
      <c r="BO248" s="33"/>
    </row>
    <row r="249" spans="1:67" ht="15.7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  <c r="BH249" s="33"/>
      <c r="BI249" s="33"/>
      <c r="BJ249" s="33"/>
      <c r="BK249" s="33"/>
      <c r="BL249" s="33"/>
      <c r="BM249" s="33"/>
      <c r="BN249" s="33"/>
      <c r="BO249" s="33"/>
    </row>
    <row r="250" spans="1:67" ht="15.7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  <c r="BH250" s="33"/>
      <c r="BI250" s="33"/>
      <c r="BJ250" s="33"/>
      <c r="BK250" s="33"/>
      <c r="BL250" s="33"/>
      <c r="BM250" s="33"/>
      <c r="BN250" s="33"/>
      <c r="BO250" s="33"/>
    </row>
    <row r="251" spans="1:67" ht="15.7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  <c r="BH251" s="33"/>
      <c r="BI251" s="33"/>
      <c r="BJ251" s="33"/>
      <c r="BK251" s="33"/>
      <c r="BL251" s="33"/>
      <c r="BM251" s="33"/>
      <c r="BN251" s="33"/>
      <c r="BO251" s="33"/>
    </row>
    <row r="252" spans="1:67" ht="15.7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</row>
    <row r="253" spans="1:67" ht="15.7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33"/>
      <c r="BJ253" s="33"/>
      <c r="BK253" s="33"/>
      <c r="BL253" s="33"/>
      <c r="BM253" s="33"/>
      <c r="BN253" s="33"/>
      <c r="BO253" s="33"/>
    </row>
    <row r="254" spans="1:67" ht="15.7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  <c r="BH254" s="33"/>
      <c r="BI254" s="33"/>
      <c r="BJ254" s="33"/>
      <c r="BK254" s="33"/>
      <c r="BL254" s="33"/>
      <c r="BM254" s="33"/>
      <c r="BN254" s="33"/>
      <c r="BO254" s="33"/>
    </row>
    <row r="255" spans="1:67" ht="15.7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33"/>
      <c r="BJ255" s="33"/>
      <c r="BK255" s="33"/>
      <c r="BL255" s="33"/>
      <c r="BM255" s="33"/>
      <c r="BN255" s="33"/>
      <c r="BO255" s="33"/>
    </row>
    <row r="256" spans="1:67" ht="15.7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33"/>
      <c r="BK256" s="33"/>
      <c r="BL256" s="33"/>
      <c r="BM256" s="33"/>
      <c r="BN256" s="33"/>
      <c r="BO256" s="33"/>
    </row>
    <row r="257" spans="1:67" ht="15.7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  <c r="BH257" s="33"/>
      <c r="BI257" s="33"/>
      <c r="BJ257" s="33"/>
      <c r="BK257" s="33"/>
      <c r="BL257" s="33"/>
      <c r="BM257" s="33"/>
      <c r="BN257" s="33"/>
      <c r="BO257" s="33"/>
    </row>
    <row r="258" spans="1:67" ht="15.7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  <c r="BH258" s="33"/>
      <c r="BI258" s="33"/>
      <c r="BJ258" s="33"/>
      <c r="BK258" s="33"/>
      <c r="BL258" s="33"/>
      <c r="BM258" s="33"/>
      <c r="BN258" s="33"/>
      <c r="BO258" s="33"/>
    </row>
    <row r="259" spans="1:67" ht="15.7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  <c r="BH259" s="33"/>
      <c r="BI259" s="33"/>
      <c r="BJ259" s="33"/>
      <c r="BK259" s="33"/>
      <c r="BL259" s="33"/>
      <c r="BM259" s="33"/>
      <c r="BN259" s="33"/>
      <c r="BO259" s="33"/>
    </row>
    <row r="260" spans="1:67" ht="15.7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  <c r="BH260" s="33"/>
      <c r="BI260" s="33"/>
      <c r="BJ260" s="33"/>
      <c r="BK260" s="33"/>
      <c r="BL260" s="33"/>
      <c r="BM260" s="33"/>
      <c r="BN260" s="33"/>
      <c r="BO260" s="33"/>
    </row>
    <row r="261" spans="1:67" ht="15.7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  <c r="BH261" s="33"/>
      <c r="BI261" s="33"/>
      <c r="BJ261" s="33"/>
      <c r="BK261" s="33"/>
      <c r="BL261" s="33"/>
      <c r="BM261" s="33"/>
      <c r="BN261" s="33"/>
      <c r="BO261" s="33"/>
    </row>
    <row r="262" spans="1:67" ht="15.7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  <c r="BH262" s="33"/>
      <c r="BI262" s="33"/>
      <c r="BJ262" s="33"/>
      <c r="BK262" s="33"/>
      <c r="BL262" s="33"/>
      <c r="BM262" s="33"/>
      <c r="BN262" s="33"/>
      <c r="BO262" s="33"/>
    </row>
    <row r="263" spans="1:67" ht="15.7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  <c r="BH263" s="33"/>
      <c r="BI263" s="33"/>
      <c r="BJ263" s="33"/>
      <c r="BK263" s="33"/>
      <c r="BL263" s="33"/>
      <c r="BM263" s="33"/>
      <c r="BN263" s="33"/>
      <c r="BO263" s="33"/>
    </row>
    <row r="264" spans="1:67" ht="15.7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  <c r="BH264" s="33"/>
      <c r="BI264" s="33"/>
      <c r="BJ264" s="33"/>
      <c r="BK264" s="33"/>
      <c r="BL264" s="33"/>
      <c r="BM264" s="33"/>
      <c r="BN264" s="33"/>
      <c r="BO264" s="33"/>
    </row>
    <row r="265" spans="1:67" ht="15.7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</row>
    <row r="266" spans="1:67" ht="15.7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  <c r="BH266" s="33"/>
      <c r="BI266" s="33"/>
      <c r="BJ266" s="33"/>
      <c r="BK266" s="33"/>
      <c r="BL266" s="33"/>
      <c r="BM266" s="33"/>
      <c r="BN266" s="33"/>
      <c r="BO266" s="33"/>
    </row>
    <row r="267" spans="1: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  <c r="BH267" s="33"/>
      <c r="BI267" s="33"/>
      <c r="BJ267" s="33"/>
      <c r="BK267" s="33"/>
      <c r="BL267" s="33"/>
      <c r="BM267" s="33"/>
      <c r="BN267" s="33"/>
      <c r="BO267" s="33"/>
    </row>
    <row r="268" spans="1:67" ht="15.7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33"/>
      <c r="BJ268" s="33"/>
      <c r="BK268" s="33"/>
      <c r="BL268" s="33"/>
      <c r="BM268" s="33"/>
      <c r="BN268" s="33"/>
      <c r="BO268" s="33"/>
    </row>
    <row r="269" spans="1:67" ht="15.7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  <c r="BH269" s="33"/>
      <c r="BI269" s="33"/>
      <c r="BJ269" s="33"/>
      <c r="BK269" s="33"/>
      <c r="BL269" s="33"/>
      <c r="BM269" s="33"/>
      <c r="BN269" s="33"/>
      <c r="BO269" s="33"/>
    </row>
    <row r="270" spans="1:67" ht="15.7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  <c r="BH270" s="33"/>
      <c r="BI270" s="33"/>
      <c r="BJ270" s="33"/>
      <c r="BK270" s="33"/>
      <c r="BL270" s="33"/>
      <c r="BM270" s="33"/>
      <c r="BN270" s="33"/>
      <c r="BO270" s="33"/>
    </row>
    <row r="271" spans="1:67" ht="15.7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  <c r="BH271" s="33"/>
      <c r="BI271" s="33"/>
      <c r="BJ271" s="33"/>
      <c r="BK271" s="33"/>
      <c r="BL271" s="33"/>
      <c r="BM271" s="33"/>
      <c r="BN271" s="33"/>
      <c r="BO271" s="33"/>
    </row>
    <row r="272" spans="1:67" ht="15.7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33"/>
      <c r="BJ272" s="33"/>
      <c r="BK272" s="33"/>
      <c r="BL272" s="33"/>
      <c r="BM272" s="33"/>
      <c r="BN272" s="33"/>
      <c r="BO272" s="33"/>
    </row>
    <row r="273" spans="1:67" ht="15.7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  <c r="BH273" s="33"/>
      <c r="BI273" s="33"/>
      <c r="BJ273" s="33"/>
      <c r="BK273" s="33"/>
      <c r="BL273" s="33"/>
      <c r="BM273" s="33"/>
      <c r="BN273" s="33"/>
      <c r="BO273" s="33"/>
    </row>
    <row r="274" spans="1:67" ht="15.7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33"/>
      <c r="BJ274" s="33"/>
      <c r="BK274" s="33"/>
      <c r="BL274" s="33"/>
      <c r="BM274" s="33"/>
      <c r="BN274" s="33"/>
      <c r="BO274" s="33"/>
    </row>
    <row r="275" spans="1:67" ht="15.7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  <c r="BH275" s="33"/>
      <c r="BI275" s="33"/>
      <c r="BJ275" s="33"/>
      <c r="BK275" s="33"/>
      <c r="BL275" s="33"/>
      <c r="BM275" s="33"/>
      <c r="BN275" s="33"/>
      <c r="BO275" s="33"/>
    </row>
    <row r="276" spans="1:67" ht="15.7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33"/>
      <c r="BJ276" s="33"/>
      <c r="BK276" s="33"/>
      <c r="BL276" s="33"/>
      <c r="BM276" s="33"/>
      <c r="BN276" s="33"/>
      <c r="BO276" s="33"/>
    </row>
    <row r="277" spans="1:67" ht="15.7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  <c r="BH277" s="33"/>
      <c r="BI277" s="33"/>
      <c r="BJ277" s="33"/>
      <c r="BK277" s="33"/>
      <c r="BL277" s="33"/>
      <c r="BM277" s="33"/>
      <c r="BN277" s="33"/>
      <c r="BO277" s="33"/>
    </row>
    <row r="278" spans="1:67" ht="15.7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  <c r="BH278" s="33"/>
      <c r="BI278" s="33"/>
      <c r="BJ278" s="33"/>
      <c r="BK278" s="33"/>
      <c r="BL278" s="33"/>
      <c r="BM278" s="33"/>
      <c r="BN278" s="33"/>
      <c r="BO278" s="33"/>
    </row>
    <row r="279" spans="1:67" ht="15.7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  <c r="BH279" s="33"/>
      <c r="BI279" s="33"/>
      <c r="BJ279" s="33"/>
      <c r="BK279" s="33"/>
      <c r="BL279" s="33"/>
      <c r="BM279" s="33"/>
      <c r="BN279" s="33"/>
      <c r="BO279" s="33"/>
    </row>
    <row r="280" spans="1:67" ht="15.7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  <c r="BH280" s="33"/>
      <c r="BI280" s="33"/>
      <c r="BJ280" s="33"/>
      <c r="BK280" s="33"/>
      <c r="BL280" s="33"/>
      <c r="BM280" s="33"/>
      <c r="BN280" s="33"/>
      <c r="BO280" s="33"/>
    </row>
    <row r="281" spans="1:67" ht="15.7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  <c r="BH281" s="33"/>
      <c r="BI281" s="33"/>
      <c r="BJ281" s="33"/>
      <c r="BK281" s="33"/>
      <c r="BL281" s="33"/>
      <c r="BM281" s="33"/>
      <c r="BN281" s="33"/>
      <c r="BO281" s="33"/>
    </row>
    <row r="282" spans="1:67" ht="15.7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  <c r="BH282" s="33"/>
      <c r="BI282" s="33"/>
      <c r="BJ282" s="33"/>
      <c r="BK282" s="33"/>
      <c r="BL282" s="33"/>
      <c r="BM282" s="33"/>
      <c r="BN282" s="33"/>
      <c r="BO282" s="33"/>
    </row>
    <row r="283" spans="1:67" ht="15.7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  <c r="BH283" s="33"/>
      <c r="BI283" s="33"/>
      <c r="BJ283" s="33"/>
      <c r="BK283" s="33"/>
      <c r="BL283" s="33"/>
      <c r="BM283" s="33"/>
      <c r="BN283" s="33"/>
      <c r="BO283" s="33"/>
    </row>
    <row r="284" spans="1:67" ht="15.7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  <c r="BH284" s="33"/>
      <c r="BI284" s="33"/>
      <c r="BJ284" s="33"/>
      <c r="BK284" s="33"/>
      <c r="BL284" s="33"/>
      <c r="BM284" s="33"/>
      <c r="BN284" s="33"/>
      <c r="BO284" s="33"/>
    </row>
    <row r="285" spans="1:67" ht="15.7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33"/>
      <c r="BJ285" s="33"/>
      <c r="BK285" s="33"/>
      <c r="BL285" s="33"/>
      <c r="BM285" s="33"/>
      <c r="BN285" s="33"/>
      <c r="BO285" s="33"/>
    </row>
    <row r="286" spans="1:67" ht="15.7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33"/>
      <c r="BJ286" s="33"/>
      <c r="BK286" s="33"/>
      <c r="BL286" s="33"/>
      <c r="BM286" s="33"/>
      <c r="BN286" s="33"/>
      <c r="BO286" s="33"/>
    </row>
    <row r="287" spans="1:67" ht="15.7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  <c r="BH287" s="33"/>
      <c r="BI287" s="33"/>
      <c r="BJ287" s="33"/>
      <c r="BK287" s="33"/>
      <c r="BL287" s="33"/>
      <c r="BM287" s="33"/>
      <c r="BN287" s="33"/>
      <c r="BO287" s="33"/>
    </row>
    <row r="288" spans="1:67" ht="15.7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33"/>
      <c r="BK288" s="33"/>
      <c r="BL288" s="33"/>
      <c r="BM288" s="33"/>
      <c r="BN288" s="33"/>
      <c r="BO288" s="33"/>
    </row>
    <row r="289" spans="1:67" ht="15.7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  <c r="BH289" s="33"/>
      <c r="BI289" s="33"/>
      <c r="BJ289" s="33"/>
      <c r="BK289" s="33"/>
      <c r="BL289" s="33"/>
      <c r="BM289" s="33"/>
      <c r="BN289" s="33"/>
      <c r="BO289" s="33"/>
    </row>
    <row r="290" spans="1:67" ht="15.7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  <c r="BH290" s="33"/>
      <c r="BI290" s="33"/>
      <c r="BJ290" s="33"/>
      <c r="BK290" s="33"/>
      <c r="BL290" s="33"/>
      <c r="BM290" s="33"/>
      <c r="BN290" s="33"/>
      <c r="BO290" s="33"/>
    </row>
    <row r="291" spans="1:67" ht="15.7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  <c r="BH291" s="33"/>
      <c r="BI291" s="33"/>
      <c r="BJ291" s="33"/>
      <c r="BK291" s="33"/>
      <c r="BL291" s="33"/>
      <c r="BM291" s="33"/>
      <c r="BN291" s="33"/>
      <c r="BO291" s="33"/>
    </row>
    <row r="292" spans="1:67" ht="15.7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  <c r="BH292" s="33"/>
      <c r="BI292" s="33"/>
      <c r="BJ292" s="33"/>
      <c r="BK292" s="33"/>
      <c r="BL292" s="33"/>
      <c r="BM292" s="33"/>
      <c r="BN292" s="33"/>
      <c r="BO292" s="33"/>
    </row>
    <row r="293" spans="1:67" ht="15.7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  <c r="BH293" s="33"/>
      <c r="BI293" s="33"/>
      <c r="BJ293" s="33"/>
      <c r="BK293" s="33"/>
      <c r="BL293" s="33"/>
      <c r="BM293" s="33"/>
      <c r="BN293" s="33"/>
      <c r="BO293" s="33"/>
    </row>
    <row r="294" spans="1:67" ht="15.7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  <c r="BH294" s="33"/>
      <c r="BI294" s="33"/>
      <c r="BJ294" s="33"/>
      <c r="BK294" s="33"/>
      <c r="BL294" s="33"/>
      <c r="BM294" s="33"/>
      <c r="BN294" s="33"/>
      <c r="BO294" s="33"/>
    </row>
    <row r="295" spans="1:67" ht="15.7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  <c r="BH295" s="33"/>
      <c r="BI295" s="33"/>
      <c r="BJ295" s="33"/>
      <c r="BK295" s="33"/>
      <c r="BL295" s="33"/>
      <c r="BM295" s="33"/>
      <c r="BN295" s="33"/>
      <c r="BO295" s="33"/>
    </row>
    <row r="296" spans="1:67" ht="15.7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  <c r="AO296" s="33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  <c r="BH296" s="33"/>
      <c r="BI296" s="33"/>
      <c r="BJ296" s="33"/>
      <c r="BK296" s="33"/>
      <c r="BL296" s="33"/>
      <c r="BM296" s="33"/>
      <c r="BN296" s="33"/>
      <c r="BO296" s="33"/>
    </row>
    <row r="297" spans="1:67" ht="15.7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  <c r="AO297" s="33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  <c r="BH297" s="33"/>
      <c r="BI297" s="33"/>
      <c r="BJ297" s="33"/>
      <c r="BK297" s="33"/>
      <c r="BL297" s="33"/>
      <c r="BM297" s="33"/>
      <c r="BN297" s="33"/>
      <c r="BO297" s="33"/>
    </row>
    <row r="298" spans="1:67" ht="15.7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  <c r="AO298" s="33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  <c r="BH298" s="33"/>
      <c r="BI298" s="33"/>
      <c r="BJ298" s="33"/>
      <c r="BK298" s="33"/>
      <c r="BL298" s="33"/>
      <c r="BM298" s="33"/>
      <c r="BN298" s="33"/>
      <c r="BO298" s="33"/>
    </row>
    <row r="299" spans="1:67" ht="15.7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  <c r="AO299" s="33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  <c r="BH299" s="33"/>
      <c r="BI299" s="33"/>
      <c r="BJ299" s="33"/>
      <c r="BK299" s="33"/>
      <c r="BL299" s="33"/>
      <c r="BM299" s="33"/>
      <c r="BN299" s="33"/>
      <c r="BO299" s="33"/>
    </row>
    <row r="300" spans="1:67" ht="15.7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  <c r="BH300" s="33"/>
      <c r="BI300" s="33"/>
      <c r="BJ300" s="33"/>
      <c r="BK300" s="33"/>
      <c r="BL300" s="33"/>
      <c r="BM300" s="33"/>
      <c r="BN300" s="33"/>
      <c r="BO300" s="33"/>
    </row>
    <row r="301" spans="1:67" ht="15.7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  <c r="AO301" s="33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  <c r="BH301" s="33"/>
      <c r="BI301" s="33"/>
      <c r="BJ301" s="33"/>
      <c r="BK301" s="33"/>
      <c r="BL301" s="33"/>
      <c r="BM301" s="33"/>
      <c r="BN301" s="33"/>
      <c r="BO301" s="33"/>
    </row>
    <row r="302" spans="1:67" ht="15.7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  <c r="BH302" s="33"/>
      <c r="BI302" s="33"/>
      <c r="BJ302" s="33"/>
      <c r="BK302" s="33"/>
      <c r="BL302" s="33"/>
      <c r="BM302" s="33"/>
      <c r="BN302" s="33"/>
      <c r="BO302" s="33"/>
    </row>
    <row r="303" spans="1:67" ht="15.7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</row>
    <row r="304" spans="1:67" ht="15.7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  <c r="AO304" s="33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  <c r="BH304" s="33"/>
      <c r="BI304" s="33"/>
      <c r="BJ304" s="33"/>
      <c r="BK304" s="33"/>
      <c r="BL304" s="33"/>
      <c r="BM304" s="33"/>
      <c r="BN304" s="33"/>
      <c r="BO304" s="33"/>
    </row>
    <row r="305" spans="1:67" ht="15.7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  <c r="AO305" s="33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  <c r="BH305" s="33"/>
      <c r="BI305" s="33"/>
      <c r="BJ305" s="33"/>
      <c r="BK305" s="33"/>
      <c r="BL305" s="33"/>
      <c r="BM305" s="33"/>
      <c r="BN305" s="33"/>
      <c r="BO305" s="33"/>
    </row>
    <row r="306" spans="1:67" ht="15.7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  <c r="BH306" s="33"/>
      <c r="BI306" s="33"/>
      <c r="BJ306" s="33"/>
      <c r="BK306" s="33"/>
      <c r="BL306" s="33"/>
      <c r="BM306" s="33"/>
      <c r="BN306" s="33"/>
      <c r="BO306" s="33"/>
    </row>
    <row r="307" spans="1:67" ht="15.7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</row>
    <row r="308" spans="1:67" ht="15.7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  <c r="AO308" s="33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  <c r="BH308" s="33"/>
      <c r="BI308" s="33"/>
      <c r="BJ308" s="33"/>
      <c r="BK308" s="33"/>
      <c r="BL308" s="33"/>
      <c r="BM308" s="33"/>
      <c r="BN308" s="33"/>
      <c r="BO308" s="33"/>
    </row>
    <row r="309" spans="1:67" ht="15.7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  <c r="AO309" s="33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  <c r="BH309" s="33"/>
      <c r="BI309" s="33"/>
      <c r="BJ309" s="33"/>
      <c r="BK309" s="33"/>
      <c r="BL309" s="33"/>
      <c r="BM309" s="33"/>
      <c r="BN309" s="33"/>
      <c r="BO309" s="33"/>
    </row>
    <row r="310" spans="1:67" ht="15.7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  <c r="BH310" s="33"/>
      <c r="BI310" s="33"/>
      <c r="BJ310" s="33"/>
      <c r="BK310" s="33"/>
      <c r="BL310" s="33"/>
      <c r="BM310" s="33"/>
      <c r="BN310" s="33"/>
      <c r="BO310" s="33"/>
    </row>
    <row r="311" spans="1:67" ht="15.7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  <c r="AO311" s="33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  <c r="BH311" s="33"/>
      <c r="BI311" s="33"/>
      <c r="BJ311" s="33"/>
      <c r="BK311" s="33"/>
      <c r="BL311" s="33"/>
      <c r="BM311" s="33"/>
      <c r="BN311" s="33"/>
      <c r="BO311" s="33"/>
    </row>
    <row r="312" spans="1:67" ht="15.7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  <c r="AO312" s="33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  <c r="BH312" s="33"/>
      <c r="BI312" s="33"/>
      <c r="BJ312" s="33"/>
      <c r="BK312" s="33"/>
      <c r="BL312" s="33"/>
      <c r="BM312" s="33"/>
      <c r="BN312" s="33"/>
      <c r="BO312" s="33"/>
    </row>
    <row r="313" spans="1:67" ht="15.7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  <c r="AO313" s="33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  <c r="BH313" s="33"/>
      <c r="BI313" s="33"/>
      <c r="BJ313" s="33"/>
      <c r="BK313" s="33"/>
      <c r="BL313" s="33"/>
      <c r="BM313" s="33"/>
      <c r="BN313" s="33"/>
      <c r="BO313" s="33"/>
    </row>
    <row r="314" spans="1:67" ht="15.7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  <c r="AO314" s="33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  <c r="BH314" s="33"/>
      <c r="BI314" s="33"/>
      <c r="BJ314" s="33"/>
      <c r="BK314" s="33"/>
      <c r="BL314" s="33"/>
      <c r="BM314" s="33"/>
      <c r="BN314" s="33"/>
      <c r="BO314" s="33"/>
    </row>
    <row r="315" spans="1:67" ht="15.7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  <c r="BH315" s="33"/>
      <c r="BI315" s="33"/>
      <c r="BJ315" s="33"/>
      <c r="BK315" s="33"/>
      <c r="BL315" s="33"/>
      <c r="BM315" s="33"/>
      <c r="BN315" s="33"/>
      <c r="BO315" s="33"/>
    </row>
    <row r="316" spans="1:67" ht="15.7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  <c r="AO316" s="33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  <c r="BH316" s="33"/>
      <c r="BI316" s="33"/>
      <c r="BJ316" s="33"/>
      <c r="BK316" s="33"/>
      <c r="BL316" s="33"/>
      <c r="BM316" s="33"/>
      <c r="BN316" s="33"/>
      <c r="BO316" s="33"/>
    </row>
    <row r="317" spans="1:67" ht="15.7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  <c r="AO317" s="33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  <c r="BH317" s="33"/>
      <c r="BI317" s="33"/>
      <c r="BJ317" s="33"/>
      <c r="BK317" s="33"/>
      <c r="BL317" s="33"/>
      <c r="BM317" s="33"/>
      <c r="BN317" s="33"/>
      <c r="BO317" s="33"/>
    </row>
    <row r="318" spans="1:67" ht="15.7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  <c r="AO318" s="33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  <c r="BH318" s="33"/>
      <c r="BI318" s="33"/>
      <c r="BJ318" s="33"/>
      <c r="BK318" s="33"/>
      <c r="BL318" s="33"/>
      <c r="BM318" s="33"/>
      <c r="BN318" s="33"/>
      <c r="BO318" s="33"/>
    </row>
    <row r="319" spans="1:67" ht="15.7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  <c r="AO319" s="33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  <c r="BH319" s="33"/>
      <c r="BI319" s="33"/>
      <c r="BJ319" s="33"/>
      <c r="BK319" s="33"/>
      <c r="BL319" s="33"/>
      <c r="BM319" s="33"/>
      <c r="BN319" s="33"/>
      <c r="BO319" s="33"/>
    </row>
    <row r="320" spans="1:67" ht="15.7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33"/>
      <c r="BK320" s="33"/>
      <c r="BL320" s="33"/>
      <c r="BM320" s="33"/>
      <c r="BN320" s="33"/>
      <c r="BO320" s="33"/>
    </row>
    <row r="321" spans="1:67" ht="15.7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  <c r="AO321" s="33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  <c r="BH321" s="33"/>
      <c r="BI321" s="33"/>
      <c r="BJ321" s="33"/>
      <c r="BK321" s="33"/>
      <c r="BL321" s="33"/>
      <c r="BM321" s="33"/>
      <c r="BN321" s="33"/>
      <c r="BO321" s="33"/>
    </row>
    <row r="322" spans="1:67" ht="15.7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  <c r="AO322" s="33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  <c r="BH322" s="33"/>
      <c r="BI322" s="33"/>
      <c r="BJ322" s="33"/>
      <c r="BK322" s="33"/>
      <c r="BL322" s="33"/>
      <c r="BM322" s="33"/>
      <c r="BN322" s="33"/>
      <c r="BO322" s="33"/>
    </row>
    <row r="323" spans="1:67" ht="15.7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  <c r="AO323" s="33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  <c r="BH323" s="33"/>
      <c r="BI323" s="33"/>
      <c r="BJ323" s="33"/>
      <c r="BK323" s="33"/>
      <c r="BL323" s="33"/>
      <c r="BM323" s="33"/>
      <c r="BN323" s="33"/>
      <c r="BO323" s="33"/>
    </row>
    <row r="324" spans="1:67" ht="15.7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  <c r="AO324" s="33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  <c r="BH324" s="33"/>
      <c r="BI324" s="33"/>
      <c r="BJ324" s="33"/>
      <c r="BK324" s="33"/>
      <c r="BL324" s="33"/>
      <c r="BM324" s="33"/>
      <c r="BN324" s="33"/>
      <c r="BO324" s="33"/>
    </row>
    <row r="325" spans="1:67" ht="15.7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  <c r="AO325" s="33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  <c r="BH325" s="33"/>
      <c r="BI325" s="33"/>
      <c r="BJ325" s="33"/>
      <c r="BK325" s="33"/>
      <c r="BL325" s="33"/>
      <c r="BM325" s="33"/>
      <c r="BN325" s="33"/>
      <c r="BO325" s="33"/>
    </row>
    <row r="326" spans="1:67" ht="15.7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  <c r="AO326" s="33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  <c r="BH326" s="33"/>
      <c r="BI326" s="33"/>
      <c r="BJ326" s="33"/>
      <c r="BK326" s="33"/>
      <c r="BL326" s="33"/>
      <c r="BM326" s="33"/>
      <c r="BN326" s="33"/>
      <c r="BO326" s="33"/>
    </row>
    <row r="327" spans="1:67" ht="15.7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  <c r="AO327" s="33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  <c r="BH327" s="33"/>
      <c r="BI327" s="33"/>
      <c r="BJ327" s="33"/>
      <c r="BK327" s="33"/>
      <c r="BL327" s="33"/>
      <c r="BM327" s="33"/>
      <c r="BN327" s="33"/>
      <c r="BO327" s="33"/>
    </row>
    <row r="328" spans="1:67" ht="15.7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  <c r="BH328" s="33"/>
      <c r="BI328" s="33"/>
      <c r="BJ328" s="33"/>
      <c r="BK328" s="33"/>
      <c r="BL328" s="33"/>
      <c r="BM328" s="33"/>
      <c r="BN328" s="33"/>
      <c r="BO328" s="33"/>
    </row>
    <row r="329" spans="1:67" ht="15.7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  <c r="AO329" s="33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  <c r="BH329" s="33"/>
      <c r="BI329" s="33"/>
      <c r="BJ329" s="33"/>
      <c r="BK329" s="33"/>
      <c r="BL329" s="33"/>
      <c r="BM329" s="33"/>
      <c r="BN329" s="33"/>
      <c r="BO329" s="33"/>
    </row>
    <row r="330" spans="1:67" ht="15.7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  <c r="AO330" s="33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  <c r="BH330" s="33"/>
      <c r="BI330" s="33"/>
      <c r="BJ330" s="33"/>
      <c r="BK330" s="33"/>
      <c r="BL330" s="33"/>
      <c r="BM330" s="33"/>
      <c r="BN330" s="33"/>
      <c r="BO330" s="33"/>
    </row>
    <row r="331" spans="1:67" ht="15.7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  <c r="AO331" s="33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  <c r="BH331" s="33"/>
      <c r="BI331" s="33"/>
      <c r="BJ331" s="33"/>
      <c r="BK331" s="33"/>
      <c r="BL331" s="33"/>
      <c r="BM331" s="33"/>
      <c r="BN331" s="33"/>
      <c r="BO331" s="33"/>
    </row>
    <row r="332" spans="1:67" ht="15.7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33"/>
      <c r="BK332" s="33"/>
      <c r="BL332" s="33"/>
      <c r="BM332" s="33"/>
      <c r="BN332" s="33"/>
      <c r="BO332" s="33"/>
    </row>
    <row r="333" spans="1:67" ht="15.7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  <c r="AO333" s="33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  <c r="BH333" s="33"/>
      <c r="BI333" s="33"/>
      <c r="BJ333" s="33"/>
      <c r="BK333" s="33"/>
      <c r="BL333" s="33"/>
      <c r="BM333" s="33"/>
      <c r="BN333" s="33"/>
      <c r="BO333" s="33"/>
    </row>
    <row r="334" spans="1:67" ht="15.7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  <c r="AO334" s="33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  <c r="BH334" s="33"/>
      <c r="BI334" s="33"/>
      <c r="BJ334" s="33"/>
      <c r="BK334" s="33"/>
      <c r="BL334" s="33"/>
      <c r="BM334" s="33"/>
      <c r="BN334" s="33"/>
      <c r="BO334" s="33"/>
    </row>
    <row r="335" spans="1:67" ht="15.7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  <c r="AO335" s="33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  <c r="BH335" s="33"/>
      <c r="BI335" s="33"/>
      <c r="BJ335" s="33"/>
      <c r="BK335" s="33"/>
      <c r="BL335" s="33"/>
      <c r="BM335" s="33"/>
      <c r="BN335" s="33"/>
      <c r="BO335" s="33"/>
    </row>
    <row r="336" spans="1:67" ht="15.7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  <c r="BH336" s="33"/>
      <c r="BI336" s="33"/>
      <c r="BJ336" s="33"/>
      <c r="BK336" s="33"/>
      <c r="BL336" s="33"/>
      <c r="BM336" s="33"/>
      <c r="BN336" s="33"/>
      <c r="BO336" s="33"/>
    </row>
    <row r="337" spans="1:67" ht="15.7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  <c r="AO337" s="33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  <c r="BH337" s="33"/>
      <c r="BI337" s="33"/>
      <c r="BJ337" s="33"/>
      <c r="BK337" s="33"/>
      <c r="BL337" s="33"/>
      <c r="BM337" s="33"/>
      <c r="BN337" s="33"/>
      <c r="BO337" s="33"/>
    </row>
    <row r="338" spans="1:67" ht="15.7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  <c r="AO338" s="33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  <c r="BH338" s="33"/>
      <c r="BI338" s="33"/>
      <c r="BJ338" s="33"/>
      <c r="BK338" s="33"/>
      <c r="BL338" s="33"/>
      <c r="BM338" s="33"/>
      <c r="BN338" s="33"/>
      <c r="BO338" s="33"/>
    </row>
    <row r="339" spans="1:67" ht="15.7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  <c r="AO339" s="33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  <c r="BH339" s="33"/>
      <c r="BI339" s="33"/>
      <c r="BJ339" s="33"/>
      <c r="BK339" s="33"/>
      <c r="BL339" s="33"/>
      <c r="BM339" s="33"/>
      <c r="BN339" s="33"/>
      <c r="BO339" s="33"/>
    </row>
    <row r="340" spans="1:67" ht="15.7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  <c r="AO340" s="33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  <c r="BH340" s="33"/>
      <c r="BI340" s="33"/>
      <c r="BJ340" s="33"/>
      <c r="BK340" s="33"/>
      <c r="BL340" s="33"/>
      <c r="BM340" s="33"/>
      <c r="BN340" s="33"/>
      <c r="BO340" s="33"/>
    </row>
    <row r="341" spans="1:67" ht="15.7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  <c r="AO341" s="33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  <c r="BH341" s="33"/>
      <c r="BI341" s="33"/>
      <c r="BJ341" s="33"/>
      <c r="BK341" s="33"/>
      <c r="BL341" s="33"/>
      <c r="BM341" s="33"/>
      <c r="BN341" s="33"/>
      <c r="BO341" s="33"/>
    </row>
    <row r="342" spans="1:67" ht="15.7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  <c r="BH342" s="33"/>
      <c r="BI342" s="33"/>
      <c r="BJ342" s="33"/>
      <c r="BK342" s="33"/>
      <c r="BL342" s="33"/>
      <c r="BM342" s="33"/>
      <c r="BN342" s="33"/>
      <c r="BO342" s="33"/>
    </row>
    <row r="343" spans="1:67" ht="15.7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  <c r="AO343" s="33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  <c r="BH343" s="33"/>
      <c r="BI343" s="33"/>
      <c r="BJ343" s="33"/>
      <c r="BK343" s="33"/>
      <c r="BL343" s="33"/>
      <c r="BM343" s="33"/>
      <c r="BN343" s="33"/>
      <c r="BO343" s="33"/>
    </row>
    <row r="344" spans="1:67" ht="15.7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33"/>
      <c r="BK344" s="33"/>
      <c r="BL344" s="33"/>
      <c r="BM344" s="33"/>
      <c r="BN344" s="33"/>
      <c r="BO344" s="33"/>
    </row>
    <row r="345" spans="1:67" ht="15.7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  <c r="BH345" s="33"/>
      <c r="BI345" s="33"/>
      <c r="BJ345" s="33"/>
      <c r="BK345" s="33"/>
      <c r="BL345" s="33"/>
      <c r="BM345" s="33"/>
      <c r="BN345" s="33"/>
      <c r="BO345" s="33"/>
    </row>
    <row r="346" spans="1:67" ht="15.7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  <c r="AO346" s="33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  <c r="BH346" s="33"/>
      <c r="BI346" s="33"/>
      <c r="BJ346" s="33"/>
      <c r="BK346" s="33"/>
      <c r="BL346" s="33"/>
      <c r="BM346" s="33"/>
      <c r="BN346" s="33"/>
      <c r="BO346" s="33"/>
    </row>
    <row r="347" spans="1:67" ht="15.7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  <c r="AO347" s="33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  <c r="BH347" s="33"/>
      <c r="BI347" s="33"/>
      <c r="BJ347" s="33"/>
      <c r="BK347" s="33"/>
      <c r="BL347" s="33"/>
      <c r="BM347" s="33"/>
      <c r="BN347" s="33"/>
      <c r="BO347" s="33"/>
    </row>
    <row r="348" spans="1:67" ht="15.7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  <c r="AO348" s="33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  <c r="BH348" s="33"/>
      <c r="BI348" s="33"/>
      <c r="BJ348" s="33"/>
      <c r="BK348" s="33"/>
      <c r="BL348" s="33"/>
      <c r="BM348" s="33"/>
      <c r="BN348" s="33"/>
      <c r="BO348" s="33"/>
    </row>
    <row r="349" spans="1:67" ht="15.7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  <c r="AO349" s="33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  <c r="BH349" s="33"/>
      <c r="BI349" s="33"/>
      <c r="BJ349" s="33"/>
      <c r="BK349" s="33"/>
      <c r="BL349" s="33"/>
      <c r="BM349" s="33"/>
      <c r="BN349" s="33"/>
      <c r="BO349" s="33"/>
    </row>
    <row r="350" spans="1:67" ht="15.7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33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  <c r="BH350" s="33"/>
      <c r="BI350" s="33"/>
      <c r="BJ350" s="33"/>
      <c r="BK350" s="33"/>
      <c r="BL350" s="33"/>
      <c r="BM350" s="33"/>
      <c r="BN350" s="33"/>
      <c r="BO350" s="33"/>
    </row>
    <row r="351" spans="1:67" ht="15.7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33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  <c r="BH351" s="33"/>
      <c r="BI351" s="33"/>
      <c r="BJ351" s="33"/>
      <c r="BK351" s="33"/>
      <c r="BL351" s="33"/>
      <c r="BM351" s="33"/>
      <c r="BN351" s="33"/>
      <c r="BO351" s="33"/>
    </row>
    <row r="352" spans="1:67" ht="15.7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33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  <c r="BH352" s="33"/>
      <c r="BI352" s="33"/>
      <c r="BJ352" s="33"/>
      <c r="BK352" s="33"/>
      <c r="BL352" s="33"/>
      <c r="BM352" s="33"/>
      <c r="BN352" s="33"/>
      <c r="BO352" s="33"/>
    </row>
    <row r="353" spans="1:67" ht="15.7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33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  <c r="BH353" s="33"/>
      <c r="BI353" s="33"/>
      <c r="BJ353" s="33"/>
      <c r="BK353" s="33"/>
      <c r="BL353" s="33"/>
      <c r="BM353" s="33"/>
      <c r="BN353" s="33"/>
      <c r="BO353" s="33"/>
    </row>
    <row r="354" spans="1:67" ht="15.7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33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  <c r="BH354" s="33"/>
      <c r="BI354" s="33"/>
      <c r="BJ354" s="33"/>
      <c r="BK354" s="33"/>
      <c r="BL354" s="33"/>
      <c r="BM354" s="33"/>
      <c r="BN354" s="33"/>
      <c r="BO354" s="33"/>
    </row>
    <row r="355" spans="1:67" ht="15.7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33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  <c r="BH355" s="33"/>
      <c r="BI355" s="33"/>
      <c r="BJ355" s="33"/>
      <c r="BK355" s="33"/>
      <c r="BL355" s="33"/>
      <c r="BM355" s="33"/>
      <c r="BN355" s="33"/>
      <c r="BO355" s="33"/>
    </row>
    <row r="356" spans="1:67" ht="15.7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33"/>
      <c r="BK356" s="33"/>
      <c r="BL356" s="33"/>
      <c r="BM356" s="33"/>
      <c r="BN356" s="33"/>
      <c r="BO356" s="33"/>
    </row>
    <row r="357" spans="1:67" ht="15.7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33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  <c r="BH357" s="33"/>
      <c r="BI357" s="33"/>
      <c r="BJ357" s="33"/>
      <c r="BK357" s="33"/>
      <c r="BL357" s="33"/>
      <c r="BM357" s="33"/>
      <c r="BN357" s="33"/>
      <c r="BO357" s="33"/>
    </row>
    <row r="358" spans="1:67" ht="15.7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  <c r="AO358" s="33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  <c r="BH358" s="33"/>
      <c r="BI358" s="33"/>
      <c r="BJ358" s="33"/>
      <c r="BK358" s="33"/>
      <c r="BL358" s="33"/>
      <c r="BM358" s="33"/>
      <c r="BN358" s="33"/>
      <c r="BO358" s="33"/>
    </row>
    <row r="359" spans="1:67" ht="15.7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  <c r="BH359" s="33"/>
      <c r="BI359" s="33"/>
      <c r="BJ359" s="33"/>
      <c r="BK359" s="33"/>
      <c r="BL359" s="33"/>
      <c r="BM359" s="33"/>
      <c r="BN359" s="33"/>
      <c r="BO359" s="33"/>
    </row>
    <row r="360" spans="1:67" ht="15.7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  <c r="AO360" s="33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  <c r="BH360" s="33"/>
      <c r="BI360" s="33"/>
      <c r="BJ360" s="33"/>
      <c r="BK360" s="33"/>
      <c r="BL360" s="33"/>
      <c r="BM360" s="33"/>
      <c r="BN360" s="33"/>
      <c r="BO360" s="33"/>
    </row>
    <row r="361" spans="1:67" ht="15.7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  <c r="AO361" s="33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  <c r="BH361" s="33"/>
      <c r="BI361" s="33"/>
      <c r="BJ361" s="33"/>
      <c r="BK361" s="33"/>
      <c r="BL361" s="33"/>
      <c r="BM361" s="33"/>
      <c r="BN361" s="33"/>
      <c r="BO361" s="33"/>
    </row>
    <row r="362" spans="1:67" ht="15.7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  <c r="AO362" s="33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  <c r="BH362" s="33"/>
      <c r="BI362" s="33"/>
      <c r="BJ362" s="33"/>
      <c r="BK362" s="33"/>
      <c r="BL362" s="33"/>
      <c r="BM362" s="33"/>
      <c r="BN362" s="33"/>
      <c r="BO362" s="33"/>
    </row>
    <row r="363" spans="1:67" ht="15.7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  <c r="AO363" s="33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  <c r="BH363" s="33"/>
      <c r="BI363" s="33"/>
      <c r="BJ363" s="33"/>
      <c r="BK363" s="33"/>
      <c r="BL363" s="33"/>
      <c r="BM363" s="33"/>
      <c r="BN363" s="33"/>
      <c r="BO363" s="33"/>
    </row>
    <row r="364" spans="1:67" ht="15.7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  <c r="AO364" s="33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  <c r="BH364" s="33"/>
      <c r="BI364" s="33"/>
      <c r="BJ364" s="33"/>
      <c r="BK364" s="33"/>
      <c r="BL364" s="33"/>
      <c r="BM364" s="33"/>
      <c r="BN364" s="33"/>
      <c r="BO364" s="33"/>
    </row>
    <row r="365" spans="1:67" ht="15.7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  <c r="AO365" s="33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  <c r="BH365" s="33"/>
      <c r="BI365" s="33"/>
      <c r="BJ365" s="33"/>
      <c r="BK365" s="33"/>
      <c r="BL365" s="33"/>
      <c r="BM365" s="33"/>
      <c r="BN365" s="33"/>
      <c r="BO365" s="33"/>
    </row>
    <row r="366" spans="1:67" ht="15.7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  <c r="AO366" s="33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  <c r="BH366" s="33"/>
      <c r="BI366" s="33"/>
      <c r="BJ366" s="33"/>
      <c r="BK366" s="33"/>
      <c r="BL366" s="33"/>
      <c r="BM366" s="33"/>
      <c r="BN366" s="33"/>
      <c r="BO366" s="33"/>
    </row>
    <row r="367" spans="1:67" ht="15.7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  <c r="AO367" s="33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  <c r="BH367" s="33"/>
      <c r="BI367" s="33"/>
      <c r="BJ367" s="33"/>
      <c r="BK367" s="33"/>
      <c r="BL367" s="33"/>
      <c r="BM367" s="33"/>
      <c r="BN367" s="33"/>
      <c r="BO367" s="33"/>
    </row>
    <row r="368" spans="1:67" ht="15.7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33"/>
      <c r="BK368" s="33"/>
      <c r="BL368" s="33"/>
      <c r="BM368" s="33"/>
      <c r="BN368" s="33"/>
      <c r="BO368" s="33"/>
    </row>
    <row r="369" spans="1:67" ht="15.7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</row>
    <row r="370" spans="1:67" ht="15.7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  <c r="AO370" s="33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  <c r="BH370" s="33"/>
      <c r="BI370" s="33"/>
      <c r="BJ370" s="33"/>
      <c r="BK370" s="33"/>
      <c r="BL370" s="33"/>
      <c r="BM370" s="33"/>
      <c r="BN370" s="33"/>
      <c r="BO370" s="33"/>
    </row>
    <row r="371" spans="1:67" ht="15.7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  <c r="AO371" s="33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  <c r="BH371" s="33"/>
      <c r="BI371" s="33"/>
      <c r="BJ371" s="33"/>
      <c r="BK371" s="33"/>
      <c r="BL371" s="33"/>
      <c r="BM371" s="33"/>
      <c r="BN371" s="33"/>
      <c r="BO371" s="33"/>
    </row>
    <row r="372" spans="1:67" ht="15.7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  <c r="BH372" s="33"/>
      <c r="BI372" s="33"/>
      <c r="BJ372" s="33"/>
      <c r="BK372" s="33"/>
      <c r="BL372" s="33"/>
      <c r="BM372" s="33"/>
      <c r="BN372" s="33"/>
      <c r="BO372" s="33"/>
    </row>
    <row r="373" spans="1:67" ht="15.7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  <c r="AO373" s="33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  <c r="BH373" s="33"/>
      <c r="BI373" s="33"/>
      <c r="BJ373" s="33"/>
      <c r="BK373" s="33"/>
      <c r="BL373" s="33"/>
      <c r="BM373" s="33"/>
      <c r="BN373" s="33"/>
      <c r="BO373" s="33"/>
    </row>
    <row r="374" spans="1:67" ht="15.7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  <c r="AO374" s="33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  <c r="BH374" s="33"/>
      <c r="BI374" s="33"/>
      <c r="BJ374" s="33"/>
      <c r="BK374" s="33"/>
      <c r="BL374" s="33"/>
      <c r="BM374" s="33"/>
      <c r="BN374" s="33"/>
      <c r="BO374" s="33"/>
    </row>
    <row r="375" spans="1:67" ht="15.7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</row>
    <row r="376" spans="1:67" ht="15.7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  <c r="AO376" s="33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  <c r="BH376" s="33"/>
      <c r="BI376" s="33"/>
      <c r="BJ376" s="33"/>
      <c r="BK376" s="33"/>
      <c r="BL376" s="33"/>
      <c r="BM376" s="33"/>
      <c r="BN376" s="33"/>
      <c r="BO376" s="33"/>
    </row>
    <row r="377" spans="1:67" ht="15.7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  <c r="AO377" s="33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  <c r="BH377" s="33"/>
      <c r="BI377" s="33"/>
      <c r="BJ377" s="33"/>
      <c r="BK377" s="33"/>
      <c r="BL377" s="33"/>
      <c r="BM377" s="33"/>
      <c r="BN377" s="33"/>
      <c r="BO377" s="33"/>
    </row>
    <row r="378" spans="1:67" ht="15.7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</row>
    <row r="379" spans="1:67" ht="15.7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  <c r="AO379" s="33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  <c r="BH379" s="33"/>
      <c r="BI379" s="33"/>
      <c r="BJ379" s="33"/>
      <c r="BK379" s="33"/>
      <c r="BL379" s="33"/>
      <c r="BM379" s="33"/>
      <c r="BN379" s="33"/>
      <c r="BO379" s="33"/>
    </row>
    <row r="380" spans="1:67" ht="15.7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33"/>
      <c r="BK380" s="33"/>
      <c r="BL380" s="33"/>
      <c r="BM380" s="33"/>
      <c r="BN380" s="33"/>
      <c r="BO380" s="33"/>
    </row>
    <row r="381" spans="1:67" ht="15.7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</row>
    <row r="382" spans="1:67" ht="15.7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  <c r="AO382" s="33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  <c r="BH382" s="33"/>
      <c r="BI382" s="33"/>
      <c r="BJ382" s="33"/>
      <c r="BK382" s="33"/>
      <c r="BL382" s="33"/>
      <c r="BM382" s="33"/>
      <c r="BN382" s="33"/>
      <c r="BO382" s="33"/>
    </row>
    <row r="383" spans="1:67" ht="15.7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  <c r="AO383" s="33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  <c r="BH383" s="33"/>
      <c r="BI383" s="33"/>
      <c r="BJ383" s="33"/>
      <c r="BK383" s="33"/>
      <c r="BL383" s="33"/>
      <c r="BM383" s="33"/>
      <c r="BN383" s="33"/>
      <c r="BO383" s="33"/>
    </row>
    <row r="384" spans="1:67" ht="15.7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  <c r="BH384" s="33"/>
      <c r="BI384" s="33"/>
      <c r="BJ384" s="33"/>
      <c r="BK384" s="33"/>
      <c r="BL384" s="33"/>
      <c r="BM384" s="33"/>
      <c r="BN384" s="33"/>
      <c r="BO384" s="33"/>
    </row>
    <row r="385" spans="1:67" ht="15.7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  <c r="AO385" s="33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  <c r="BH385" s="33"/>
      <c r="BI385" s="33"/>
      <c r="BJ385" s="33"/>
      <c r="BK385" s="33"/>
      <c r="BL385" s="33"/>
      <c r="BM385" s="33"/>
      <c r="BN385" s="33"/>
      <c r="BO385" s="33"/>
    </row>
    <row r="386" spans="1:67" ht="15.7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  <c r="AO386" s="33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  <c r="BH386" s="33"/>
      <c r="BI386" s="33"/>
      <c r="BJ386" s="33"/>
      <c r="BK386" s="33"/>
      <c r="BL386" s="33"/>
      <c r="BM386" s="33"/>
      <c r="BN386" s="33"/>
      <c r="BO386" s="33"/>
    </row>
    <row r="387" spans="1:67" ht="15.7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  <c r="AO387" s="33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  <c r="BH387" s="33"/>
      <c r="BI387" s="33"/>
      <c r="BJ387" s="33"/>
      <c r="BK387" s="33"/>
      <c r="BL387" s="33"/>
      <c r="BM387" s="33"/>
      <c r="BN387" s="33"/>
      <c r="BO387" s="33"/>
    </row>
    <row r="388" spans="1:67" ht="15.7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  <c r="AO388" s="33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  <c r="BH388" s="33"/>
      <c r="BI388" s="33"/>
      <c r="BJ388" s="33"/>
      <c r="BK388" s="33"/>
      <c r="BL388" s="33"/>
      <c r="BM388" s="33"/>
      <c r="BN388" s="33"/>
      <c r="BO388" s="33"/>
    </row>
    <row r="389" spans="1:67" ht="15.7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  <c r="AO389" s="33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  <c r="BH389" s="33"/>
      <c r="BI389" s="33"/>
      <c r="BJ389" s="33"/>
      <c r="BK389" s="33"/>
      <c r="BL389" s="33"/>
      <c r="BM389" s="33"/>
      <c r="BN389" s="33"/>
      <c r="BO389" s="33"/>
    </row>
    <row r="390" spans="1:67" ht="15.7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  <c r="AO390" s="33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  <c r="BH390" s="33"/>
      <c r="BI390" s="33"/>
      <c r="BJ390" s="33"/>
      <c r="BK390" s="33"/>
      <c r="BL390" s="33"/>
      <c r="BM390" s="33"/>
      <c r="BN390" s="33"/>
      <c r="BO390" s="33"/>
    </row>
    <row r="391" spans="1:67" ht="15.7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  <c r="AO391" s="33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  <c r="BH391" s="33"/>
      <c r="BI391" s="33"/>
      <c r="BJ391" s="33"/>
      <c r="BK391" s="33"/>
      <c r="BL391" s="33"/>
      <c r="BM391" s="33"/>
      <c r="BN391" s="33"/>
      <c r="BO391" s="33"/>
    </row>
    <row r="392" spans="1:67" ht="15.7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33"/>
      <c r="BK392" s="33"/>
      <c r="BL392" s="33"/>
      <c r="BM392" s="33"/>
      <c r="BN392" s="33"/>
      <c r="BO392" s="33"/>
    </row>
    <row r="393" spans="1:67" ht="15.7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  <c r="AO393" s="33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  <c r="BH393" s="33"/>
      <c r="BI393" s="33"/>
      <c r="BJ393" s="33"/>
      <c r="BK393" s="33"/>
      <c r="BL393" s="33"/>
      <c r="BM393" s="33"/>
      <c r="BN393" s="33"/>
      <c r="BO393" s="33"/>
    </row>
    <row r="394" spans="1:67" ht="15.7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  <c r="AO394" s="33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  <c r="BH394" s="33"/>
      <c r="BI394" s="33"/>
      <c r="BJ394" s="33"/>
      <c r="BK394" s="33"/>
      <c r="BL394" s="33"/>
      <c r="BM394" s="33"/>
      <c r="BN394" s="33"/>
      <c r="BO394" s="33"/>
    </row>
    <row r="395" spans="1:67" ht="15.7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  <c r="AO395" s="33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  <c r="BH395" s="33"/>
      <c r="BI395" s="33"/>
      <c r="BJ395" s="33"/>
      <c r="BK395" s="33"/>
      <c r="BL395" s="33"/>
      <c r="BM395" s="33"/>
      <c r="BN395" s="33"/>
      <c r="BO395" s="33"/>
    </row>
    <row r="396" spans="1:67" ht="15.7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  <c r="AO396" s="33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  <c r="BH396" s="33"/>
      <c r="BI396" s="33"/>
      <c r="BJ396" s="33"/>
      <c r="BK396" s="33"/>
      <c r="BL396" s="33"/>
      <c r="BM396" s="33"/>
      <c r="BN396" s="33"/>
      <c r="BO396" s="33"/>
    </row>
    <row r="397" spans="1:67" ht="15.7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  <c r="AO397" s="33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  <c r="BH397" s="33"/>
      <c r="BI397" s="33"/>
      <c r="BJ397" s="33"/>
      <c r="BK397" s="33"/>
      <c r="BL397" s="33"/>
      <c r="BM397" s="33"/>
      <c r="BN397" s="33"/>
      <c r="BO397" s="33"/>
    </row>
    <row r="398" spans="1:67" ht="15.7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  <c r="AO398" s="33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  <c r="BH398" s="33"/>
      <c r="BI398" s="33"/>
      <c r="BJ398" s="33"/>
      <c r="BK398" s="33"/>
      <c r="BL398" s="33"/>
      <c r="BM398" s="33"/>
      <c r="BN398" s="33"/>
      <c r="BO398" s="33"/>
    </row>
    <row r="399" spans="1:67" ht="15.7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  <c r="AO399" s="33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  <c r="BH399" s="33"/>
      <c r="BI399" s="33"/>
      <c r="BJ399" s="33"/>
      <c r="BK399" s="33"/>
      <c r="BL399" s="33"/>
      <c r="BM399" s="33"/>
      <c r="BN399" s="33"/>
      <c r="BO399" s="33"/>
    </row>
    <row r="400" spans="1:67" ht="15.7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  <c r="AO400" s="33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  <c r="BH400" s="33"/>
      <c r="BI400" s="33"/>
      <c r="BJ400" s="33"/>
      <c r="BK400" s="33"/>
      <c r="BL400" s="33"/>
      <c r="BM400" s="33"/>
      <c r="BN400" s="33"/>
      <c r="BO400" s="33"/>
    </row>
    <row r="401" spans="1:67" ht="15.7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  <c r="AO401" s="33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  <c r="BH401" s="33"/>
      <c r="BI401" s="33"/>
      <c r="BJ401" s="33"/>
      <c r="BK401" s="33"/>
      <c r="BL401" s="33"/>
      <c r="BM401" s="33"/>
      <c r="BN401" s="33"/>
      <c r="BO401" s="33"/>
    </row>
    <row r="402" spans="1:67" ht="15.7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  <c r="AO402" s="33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  <c r="BH402" s="33"/>
      <c r="BI402" s="33"/>
      <c r="BJ402" s="33"/>
      <c r="BK402" s="33"/>
      <c r="BL402" s="33"/>
      <c r="BM402" s="33"/>
      <c r="BN402" s="33"/>
      <c r="BO402" s="33"/>
    </row>
    <row r="403" spans="1:67" ht="15.7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  <c r="AO403" s="33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  <c r="BH403" s="33"/>
      <c r="BI403" s="33"/>
      <c r="BJ403" s="33"/>
      <c r="BK403" s="33"/>
      <c r="BL403" s="33"/>
      <c r="BM403" s="33"/>
      <c r="BN403" s="33"/>
      <c r="BO403" s="33"/>
    </row>
    <row r="404" spans="1:67" ht="15.7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33"/>
      <c r="BK404" s="33"/>
      <c r="BL404" s="33"/>
      <c r="BM404" s="33"/>
      <c r="BN404" s="33"/>
      <c r="BO404" s="33"/>
    </row>
    <row r="405" spans="1:67" ht="15.7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  <c r="AO405" s="33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  <c r="BH405" s="33"/>
      <c r="BI405" s="33"/>
      <c r="BJ405" s="33"/>
      <c r="BK405" s="33"/>
      <c r="BL405" s="33"/>
      <c r="BM405" s="33"/>
      <c r="BN405" s="33"/>
      <c r="BO405" s="33"/>
    </row>
    <row r="406" spans="1:67" ht="15.7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  <c r="AO406" s="33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  <c r="BH406" s="33"/>
      <c r="BI406" s="33"/>
      <c r="BJ406" s="33"/>
      <c r="BK406" s="33"/>
      <c r="BL406" s="33"/>
      <c r="BM406" s="33"/>
      <c r="BN406" s="33"/>
      <c r="BO406" s="33"/>
    </row>
    <row r="407" spans="1:67" ht="15.7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  <c r="AO407" s="33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  <c r="BH407" s="33"/>
      <c r="BI407" s="33"/>
      <c r="BJ407" s="33"/>
      <c r="BK407" s="33"/>
      <c r="BL407" s="33"/>
      <c r="BM407" s="33"/>
      <c r="BN407" s="33"/>
      <c r="BO407" s="33"/>
    </row>
    <row r="408" spans="1:67" ht="15.7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  <c r="AO408" s="33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  <c r="BH408" s="33"/>
      <c r="BI408" s="33"/>
      <c r="BJ408" s="33"/>
      <c r="BK408" s="33"/>
      <c r="BL408" s="33"/>
      <c r="BM408" s="33"/>
      <c r="BN408" s="33"/>
      <c r="BO408" s="33"/>
    </row>
    <row r="409" spans="1:67" ht="15.7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  <c r="AO409" s="33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  <c r="BH409" s="33"/>
      <c r="BI409" s="33"/>
      <c r="BJ409" s="33"/>
      <c r="BK409" s="33"/>
      <c r="BL409" s="33"/>
      <c r="BM409" s="33"/>
      <c r="BN409" s="33"/>
      <c r="BO409" s="33"/>
    </row>
    <row r="410" spans="1:67" ht="15.7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  <c r="AO410" s="33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  <c r="BH410" s="33"/>
      <c r="BI410" s="33"/>
      <c r="BJ410" s="33"/>
      <c r="BK410" s="33"/>
      <c r="BL410" s="33"/>
      <c r="BM410" s="33"/>
      <c r="BN410" s="33"/>
      <c r="BO410" s="33"/>
    </row>
    <row r="411" spans="1:67" ht="15.7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  <c r="AO411" s="33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  <c r="BH411" s="33"/>
      <c r="BI411" s="33"/>
      <c r="BJ411" s="33"/>
      <c r="BK411" s="33"/>
      <c r="BL411" s="33"/>
      <c r="BM411" s="33"/>
      <c r="BN411" s="33"/>
      <c r="BO411" s="33"/>
    </row>
    <row r="412" spans="1:67" ht="15.7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  <c r="AO412" s="33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  <c r="BH412" s="33"/>
      <c r="BI412" s="33"/>
      <c r="BJ412" s="33"/>
      <c r="BK412" s="33"/>
      <c r="BL412" s="33"/>
      <c r="BM412" s="33"/>
      <c r="BN412" s="33"/>
      <c r="BO412" s="33"/>
    </row>
    <row r="413" spans="1:67" ht="15.7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  <c r="AO413" s="33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  <c r="BH413" s="33"/>
      <c r="BI413" s="33"/>
      <c r="BJ413" s="33"/>
      <c r="BK413" s="33"/>
      <c r="BL413" s="33"/>
      <c r="BM413" s="33"/>
      <c r="BN413" s="33"/>
      <c r="BO413" s="33"/>
    </row>
    <row r="414" spans="1:67" ht="15.7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</row>
    <row r="415" spans="1:67" ht="15.7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  <c r="AO415" s="33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  <c r="BH415" s="33"/>
      <c r="BI415" s="33"/>
      <c r="BJ415" s="33"/>
      <c r="BK415" s="33"/>
      <c r="BL415" s="33"/>
      <c r="BM415" s="33"/>
      <c r="BN415" s="33"/>
      <c r="BO415" s="33"/>
    </row>
    <row r="416" spans="1:67" ht="15.7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33"/>
      <c r="BK416" s="33"/>
      <c r="BL416" s="33"/>
      <c r="BM416" s="33"/>
      <c r="BN416" s="33"/>
      <c r="BO416" s="33"/>
    </row>
    <row r="417" spans="1:67" ht="15.7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  <c r="BH417" s="33"/>
      <c r="BI417" s="33"/>
      <c r="BJ417" s="33"/>
      <c r="BK417" s="33"/>
      <c r="BL417" s="33"/>
      <c r="BM417" s="33"/>
      <c r="BN417" s="33"/>
      <c r="BO417" s="33"/>
    </row>
    <row r="418" spans="1:67" ht="15.7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  <c r="AO418" s="33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  <c r="BH418" s="33"/>
      <c r="BI418" s="33"/>
      <c r="BJ418" s="33"/>
      <c r="BK418" s="33"/>
      <c r="BL418" s="33"/>
      <c r="BM418" s="33"/>
      <c r="BN418" s="33"/>
      <c r="BO418" s="33"/>
    </row>
    <row r="419" spans="1:67" ht="15.7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  <c r="AO419" s="33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  <c r="BH419" s="33"/>
      <c r="BI419" s="33"/>
      <c r="BJ419" s="33"/>
      <c r="BK419" s="33"/>
      <c r="BL419" s="33"/>
      <c r="BM419" s="33"/>
      <c r="BN419" s="33"/>
      <c r="BO419" s="33"/>
    </row>
    <row r="420" spans="1:67" ht="15.7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  <c r="AO420" s="33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  <c r="BH420" s="33"/>
      <c r="BI420" s="33"/>
      <c r="BJ420" s="33"/>
      <c r="BK420" s="33"/>
      <c r="BL420" s="33"/>
      <c r="BM420" s="33"/>
      <c r="BN420" s="33"/>
      <c r="BO420" s="33"/>
    </row>
    <row r="421" spans="1:67" ht="15.7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  <c r="AO421" s="33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  <c r="BH421" s="33"/>
      <c r="BI421" s="33"/>
      <c r="BJ421" s="33"/>
      <c r="BK421" s="33"/>
      <c r="BL421" s="33"/>
      <c r="BM421" s="33"/>
      <c r="BN421" s="33"/>
      <c r="BO421" s="33"/>
    </row>
    <row r="422" spans="1:67" ht="15.7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  <c r="AO422" s="33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  <c r="BH422" s="33"/>
      <c r="BI422" s="33"/>
      <c r="BJ422" s="33"/>
      <c r="BK422" s="33"/>
      <c r="BL422" s="33"/>
      <c r="BM422" s="33"/>
      <c r="BN422" s="33"/>
      <c r="BO422" s="33"/>
    </row>
    <row r="423" spans="1:67" ht="15.7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  <c r="AO423" s="33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  <c r="BH423" s="33"/>
      <c r="BI423" s="33"/>
      <c r="BJ423" s="33"/>
      <c r="BK423" s="33"/>
      <c r="BL423" s="33"/>
      <c r="BM423" s="33"/>
      <c r="BN423" s="33"/>
      <c r="BO423" s="33"/>
    </row>
    <row r="424" spans="1:67" ht="15.7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  <c r="AO424" s="33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  <c r="BH424" s="33"/>
      <c r="BI424" s="33"/>
      <c r="BJ424" s="33"/>
      <c r="BK424" s="33"/>
      <c r="BL424" s="33"/>
      <c r="BM424" s="33"/>
      <c r="BN424" s="33"/>
      <c r="BO424" s="33"/>
    </row>
    <row r="425" spans="1:67" ht="15.7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  <c r="AO425" s="33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  <c r="BH425" s="33"/>
      <c r="BI425" s="33"/>
      <c r="BJ425" s="33"/>
      <c r="BK425" s="33"/>
      <c r="BL425" s="33"/>
      <c r="BM425" s="33"/>
      <c r="BN425" s="33"/>
      <c r="BO425" s="33"/>
    </row>
    <row r="426" spans="1:67" ht="15.7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  <c r="AO426" s="33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  <c r="BH426" s="33"/>
      <c r="BI426" s="33"/>
      <c r="BJ426" s="33"/>
      <c r="BK426" s="33"/>
      <c r="BL426" s="33"/>
      <c r="BM426" s="33"/>
      <c r="BN426" s="33"/>
      <c r="BO426" s="33"/>
    </row>
    <row r="427" spans="1:67" ht="15.7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33"/>
      <c r="BJ427" s="33"/>
      <c r="BK427" s="33"/>
      <c r="BL427" s="33"/>
      <c r="BM427" s="33"/>
      <c r="BN427" s="33"/>
      <c r="BO427" s="33"/>
    </row>
    <row r="428" spans="1:67" ht="15.7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  <c r="AO428" s="33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  <c r="BH428" s="33"/>
      <c r="BI428" s="33"/>
      <c r="BJ428" s="33"/>
      <c r="BK428" s="33"/>
      <c r="BL428" s="33"/>
      <c r="BM428" s="33"/>
      <c r="BN428" s="33"/>
      <c r="BO428" s="33"/>
    </row>
    <row r="429" spans="1:67" ht="15.7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  <c r="AO429" s="33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  <c r="BH429" s="33"/>
      <c r="BI429" s="33"/>
      <c r="BJ429" s="33"/>
      <c r="BK429" s="33"/>
      <c r="BL429" s="33"/>
      <c r="BM429" s="33"/>
      <c r="BN429" s="33"/>
      <c r="BO429" s="33"/>
    </row>
    <row r="430" spans="1:67" ht="15.7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  <c r="AO430" s="33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  <c r="BH430" s="33"/>
      <c r="BI430" s="33"/>
      <c r="BJ430" s="33"/>
      <c r="BK430" s="33"/>
      <c r="BL430" s="33"/>
      <c r="BM430" s="33"/>
      <c r="BN430" s="33"/>
      <c r="BO430" s="33"/>
    </row>
    <row r="431" spans="1:67" ht="15.7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  <c r="AO431" s="33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  <c r="BH431" s="33"/>
      <c r="BI431" s="33"/>
      <c r="BJ431" s="33"/>
      <c r="BK431" s="33"/>
      <c r="BL431" s="33"/>
      <c r="BM431" s="33"/>
      <c r="BN431" s="33"/>
      <c r="BO431" s="33"/>
    </row>
    <row r="432" spans="1:67" ht="15.7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  <c r="AO432" s="33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  <c r="BH432" s="33"/>
      <c r="BI432" s="33"/>
      <c r="BJ432" s="33"/>
      <c r="BK432" s="33"/>
      <c r="BL432" s="33"/>
      <c r="BM432" s="33"/>
      <c r="BN432" s="33"/>
      <c r="BO432" s="33"/>
    </row>
    <row r="433" spans="1:67" ht="15.7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  <c r="AO433" s="33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  <c r="BH433" s="33"/>
      <c r="BI433" s="33"/>
      <c r="BJ433" s="33"/>
      <c r="BK433" s="33"/>
      <c r="BL433" s="33"/>
      <c r="BM433" s="33"/>
      <c r="BN433" s="33"/>
      <c r="BO433" s="33"/>
    </row>
    <row r="434" spans="1:67" ht="15.7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  <c r="AO434" s="33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  <c r="BH434" s="33"/>
      <c r="BI434" s="33"/>
      <c r="BJ434" s="33"/>
      <c r="BK434" s="33"/>
      <c r="BL434" s="33"/>
      <c r="BM434" s="33"/>
      <c r="BN434" s="33"/>
      <c r="BO434" s="33"/>
    </row>
    <row r="435" spans="1:67" ht="15.7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  <c r="AO435" s="33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  <c r="BH435" s="33"/>
      <c r="BI435" s="33"/>
      <c r="BJ435" s="33"/>
      <c r="BK435" s="33"/>
      <c r="BL435" s="33"/>
      <c r="BM435" s="33"/>
      <c r="BN435" s="33"/>
      <c r="BO435" s="33"/>
    </row>
    <row r="436" spans="1:67" ht="15.7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  <c r="AO436" s="33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  <c r="BH436" s="33"/>
      <c r="BI436" s="33"/>
      <c r="BJ436" s="33"/>
      <c r="BK436" s="33"/>
      <c r="BL436" s="33"/>
      <c r="BM436" s="33"/>
      <c r="BN436" s="33"/>
      <c r="BO436" s="33"/>
    </row>
    <row r="437" spans="1:67" ht="15.7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  <c r="AO437" s="33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  <c r="BH437" s="33"/>
      <c r="BI437" s="33"/>
      <c r="BJ437" s="33"/>
      <c r="BK437" s="33"/>
      <c r="BL437" s="33"/>
      <c r="BM437" s="33"/>
      <c r="BN437" s="33"/>
      <c r="BO437" s="33"/>
    </row>
    <row r="438" spans="1:67" ht="15.7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  <c r="AO438" s="33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  <c r="BH438" s="33"/>
      <c r="BI438" s="33"/>
      <c r="BJ438" s="33"/>
      <c r="BK438" s="33"/>
      <c r="BL438" s="33"/>
      <c r="BM438" s="33"/>
      <c r="BN438" s="33"/>
      <c r="BO438" s="33"/>
    </row>
    <row r="439" spans="1:67" ht="15.7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  <c r="AO439" s="33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  <c r="BH439" s="33"/>
      <c r="BI439" s="33"/>
      <c r="BJ439" s="33"/>
      <c r="BK439" s="33"/>
      <c r="BL439" s="33"/>
      <c r="BM439" s="33"/>
      <c r="BN439" s="33"/>
      <c r="BO439" s="33"/>
    </row>
    <row r="440" spans="1:67" ht="15.7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</row>
    <row r="441" spans="1:67" ht="15.7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</row>
    <row r="442" spans="1:67" ht="15.7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  <c r="AO442" s="33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  <c r="BH442" s="33"/>
      <c r="BI442" s="33"/>
      <c r="BJ442" s="33"/>
      <c r="BK442" s="33"/>
      <c r="BL442" s="33"/>
      <c r="BM442" s="33"/>
      <c r="BN442" s="33"/>
      <c r="BO442" s="33"/>
    </row>
    <row r="443" spans="1:67" ht="15.7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  <c r="BH443" s="33"/>
      <c r="BI443" s="33"/>
      <c r="BJ443" s="33"/>
      <c r="BK443" s="33"/>
      <c r="BL443" s="33"/>
      <c r="BM443" s="33"/>
      <c r="BN443" s="33"/>
      <c r="BO443" s="33"/>
    </row>
    <row r="444" spans="1:67" ht="15.7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  <c r="BH444" s="33"/>
      <c r="BI444" s="33"/>
      <c r="BJ444" s="33"/>
      <c r="BK444" s="33"/>
      <c r="BL444" s="33"/>
      <c r="BM444" s="33"/>
      <c r="BN444" s="33"/>
      <c r="BO444" s="33"/>
    </row>
    <row r="445" spans="1:67" ht="15.7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  <c r="AO445" s="33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  <c r="BH445" s="33"/>
      <c r="BI445" s="33"/>
      <c r="BJ445" s="33"/>
      <c r="BK445" s="33"/>
      <c r="BL445" s="33"/>
      <c r="BM445" s="33"/>
      <c r="BN445" s="33"/>
      <c r="BO445" s="33"/>
    </row>
    <row r="446" spans="1:67" ht="15.7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  <c r="AO446" s="33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  <c r="BH446" s="33"/>
      <c r="BI446" s="33"/>
      <c r="BJ446" s="33"/>
      <c r="BK446" s="33"/>
      <c r="BL446" s="33"/>
      <c r="BM446" s="33"/>
      <c r="BN446" s="33"/>
      <c r="BO446" s="33"/>
    </row>
    <row r="447" spans="1:67" ht="15.7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  <c r="AO447" s="33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  <c r="BH447" s="33"/>
      <c r="BI447" s="33"/>
      <c r="BJ447" s="33"/>
      <c r="BK447" s="33"/>
      <c r="BL447" s="33"/>
      <c r="BM447" s="33"/>
      <c r="BN447" s="33"/>
      <c r="BO447" s="33"/>
    </row>
    <row r="448" spans="1:67" ht="15.7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  <c r="AO448" s="33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  <c r="BH448" s="33"/>
      <c r="BI448" s="33"/>
      <c r="BJ448" s="33"/>
      <c r="BK448" s="33"/>
      <c r="BL448" s="33"/>
      <c r="BM448" s="33"/>
      <c r="BN448" s="33"/>
      <c r="BO448" s="33"/>
    </row>
    <row r="449" spans="1:67" ht="15.7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  <c r="AO449" s="33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  <c r="BH449" s="33"/>
      <c r="BI449" s="33"/>
      <c r="BJ449" s="33"/>
      <c r="BK449" s="33"/>
      <c r="BL449" s="33"/>
      <c r="BM449" s="33"/>
      <c r="BN449" s="33"/>
      <c r="BO449" s="33"/>
    </row>
    <row r="450" spans="1:67" ht="15.7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  <c r="AO450" s="33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  <c r="BH450" s="33"/>
      <c r="BI450" s="33"/>
      <c r="BJ450" s="33"/>
      <c r="BK450" s="33"/>
      <c r="BL450" s="33"/>
      <c r="BM450" s="33"/>
      <c r="BN450" s="33"/>
      <c r="BO450" s="33"/>
    </row>
    <row r="451" spans="1:67" ht="15.7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  <c r="AO451" s="33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  <c r="BH451" s="33"/>
      <c r="BI451" s="33"/>
      <c r="BJ451" s="33"/>
      <c r="BK451" s="33"/>
      <c r="BL451" s="33"/>
      <c r="BM451" s="33"/>
      <c r="BN451" s="33"/>
      <c r="BO451" s="33"/>
    </row>
    <row r="452" spans="1:67" ht="15.7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  <c r="AO452" s="33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  <c r="BH452" s="33"/>
      <c r="BI452" s="33"/>
      <c r="BJ452" s="33"/>
      <c r="BK452" s="33"/>
      <c r="BL452" s="33"/>
      <c r="BM452" s="33"/>
      <c r="BN452" s="33"/>
      <c r="BO452" s="33"/>
    </row>
    <row r="453" spans="1:67" ht="15.7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  <c r="AO453" s="33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  <c r="BH453" s="33"/>
      <c r="BI453" s="33"/>
      <c r="BJ453" s="33"/>
      <c r="BK453" s="33"/>
      <c r="BL453" s="33"/>
      <c r="BM453" s="33"/>
      <c r="BN453" s="33"/>
      <c r="BO453" s="33"/>
    </row>
    <row r="454" spans="1:67" ht="15.7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  <c r="AO454" s="33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  <c r="BH454" s="33"/>
      <c r="BI454" s="33"/>
      <c r="BJ454" s="33"/>
      <c r="BK454" s="33"/>
      <c r="BL454" s="33"/>
      <c r="BM454" s="33"/>
      <c r="BN454" s="33"/>
      <c r="BO454" s="33"/>
    </row>
    <row r="455" spans="1:67" ht="15.7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  <c r="AO455" s="33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  <c r="BH455" s="33"/>
      <c r="BI455" s="33"/>
      <c r="BJ455" s="33"/>
      <c r="BK455" s="33"/>
      <c r="BL455" s="33"/>
      <c r="BM455" s="33"/>
      <c r="BN455" s="33"/>
      <c r="BO455" s="33"/>
    </row>
    <row r="456" spans="1:67" ht="15.7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  <c r="AO456" s="33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  <c r="BH456" s="33"/>
      <c r="BI456" s="33"/>
      <c r="BJ456" s="33"/>
      <c r="BK456" s="33"/>
      <c r="BL456" s="33"/>
      <c r="BM456" s="33"/>
      <c r="BN456" s="33"/>
      <c r="BO456" s="33"/>
    </row>
    <row r="457" spans="1:67" ht="15.7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  <c r="AO457" s="33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  <c r="BH457" s="33"/>
      <c r="BI457" s="33"/>
      <c r="BJ457" s="33"/>
      <c r="BK457" s="33"/>
      <c r="BL457" s="33"/>
      <c r="BM457" s="33"/>
      <c r="BN457" s="33"/>
      <c r="BO457" s="33"/>
    </row>
    <row r="458" spans="1:67" ht="15.7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  <c r="AO458" s="33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  <c r="BH458" s="33"/>
      <c r="BI458" s="33"/>
      <c r="BJ458" s="33"/>
      <c r="BK458" s="33"/>
      <c r="BL458" s="33"/>
      <c r="BM458" s="33"/>
      <c r="BN458" s="33"/>
      <c r="BO458" s="33"/>
    </row>
    <row r="459" spans="1:67" ht="15.7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  <c r="AO459" s="33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  <c r="BH459" s="33"/>
      <c r="BI459" s="33"/>
      <c r="BJ459" s="33"/>
      <c r="BK459" s="33"/>
      <c r="BL459" s="33"/>
      <c r="BM459" s="33"/>
      <c r="BN459" s="33"/>
      <c r="BO459" s="33"/>
    </row>
    <row r="460" spans="1:67" ht="15.7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  <c r="AO460" s="33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  <c r="BH460" s="33"/>
      <c r="BI460" s="33"/>
      <c r="BJ460" s="33"/>
      <c r="BK460" s="33"/>
      <c r="BL460" s="33"/>
      <c r="BM460" s="33"/>
      <c r="BN460" s="33"/>
      <c r="BO460" s="33"/>
    </row>
    <row r="461" spans="1:67" ht="15.7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  <c r="AO461" s="33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  <c r="BH461" s="33"/>
      <c r="BI461" s="33"/>
      <c r="BJ461" s="33"/>
      <c r="BK461" s="33"/>
      <c r="BL461" s="33"/>
      <c r="BM461" s="33"/>
      <c r="BN461" s="33"/>
      <c r="BO461" s="33"/>
    </row>
    <row r="462" spans="1:67" ht="15.7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  <c r="AO462" s="33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  <c r="BH462" s="33"/>
      <c r="BI462" s="33"/>
      <c r="BJ462" s="33"/>
      <c r="BK462" s="33"/>
      <c r="BL462" s="33"/>
      <c r="BM462" s="33"/>
      <c r="BN462" s="33"/>
      <c r="BO462" s="33"/>
    </row>
    <row r="463" spans="1:67" ht="15.7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  <c r="AO463" s="33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  <c r="BH463" s="33"/>
      <c r="BI463" s="33"/>
      <c r="BJ463" s="33"/>
      <c r="BK463" s="33"/>
      <c r="BL463" s="33"/>
      <c r="BM463" s="33"/>
      <c r="BN463" s="33"/>
      <c r="BO463" s="33"/>
    </row>
    <row r="464" spans="1:67" ht="15.7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  <c r="AO464" s="33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  <c r="BH464" s="33"/>
      <c r="BI464" s="33"/>
      <c r="BJ464" s="33"/>
      <c r="BK464" s="33"/>
      <c r="BL464" s="33"/>
      <c r="BM464" s="33"/>
      <c r="BN464" s="33"/>
      <c r="BO464" s="33"/>
    </row>
    <row r="465" spans="1:67" ht="15.7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  <c r="AO465" s="33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  <c r="BH465" s="33"/>
      <c r="BI465" s="33"/>
      <c r="BJ465" s="33"/>
      <c r="BK465" s="33"/>
      <c r="BL465" s="33"/>
      <c r="BM465" s="33"/>
      <c r="BN465" s="33"/>
      <c r="BO465" s="33"/>
    </row>
    <row r="466" spans="1:67" ht="15.7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  <c r="AO466" s="33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  <c r="BH466" s="33"/>
      <c r="BI466" s="33"/>
      <c r="BJ466" s="33"/>
      <c r="BK466" s="33"/>
      <c r="BL466" s="33"/>
      <c r="BM466" s="33"/>
      <c r="BN466" s="33"/>
      <c r="BO466" s="33"/>
    </row>
    <row r="467" spans="1:67" ht="15.7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  <c r="AO467" s="33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  <c r="BH467" s="33"/>
      <c r="BI467" s="33"/>
      <c r="BJ467" s="33"/>
      <c r="BK467" s="33"/>
      <c r="BL467" s="33"/>
      <c r="BM467" s="33"/>
      <c r="BN467" s="33"/>
      <c r="BO467" s="33"/>
    </row>
    <row r="468" spans="1:67" ht="15.7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  <c r="AO468" s="33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  <c r="BH468" s="33"/>
      <c r="BI468" s="33"/>
      <c r="BJ468" s="33"/>
      <c r="BK468" s="33"/>
      <c r="BL468" s="33"/>
      <c r="BM468" s="33"/>
      <c r="BN468" s="33"/>
      <c r="BO468" s="33"/>
    </row>
    <row r="469" spans="1:67" ht="15.7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  <c r="AO469" s="33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  <c r="BH469" s="33"/>
      <c r="BI469" s="33"/>
      <c r="BJ469" s="33"/>
      <c r="BK469" s="33"/>
      <c r="BL469" s="33"/>
      <c r="BM469" s="33"/>
      <c r="BN469" s="33"/>
      <c r="BO469" s="33"/>
    </row>
    <row r="470" spans="1:67" ht="15.7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</row>
    <row r="471" spans="1:67" ht="15.7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  <c r="AO471" s="33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  <c r="BH471" s="33"/>
      <c r="BI471" s="33"/>
      <c r="BJ471" s="33"/>
      <c r="BK471" s="33"/>
      <c r="BL471" s="33"/>
      <c r="BM471" s="33"/>
      <c r="BN471" s="33"/>
      <c r="BO471" s="33"/>
    </row>
    <row r="472" spans="1:67" ht="15.7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  <c r="AO472" s="33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  <c r="BH472" s="33"/>
      <c r="BI472" s="33"/>
      <c r="BJ472" s="33"/>
      <c r="BK472" s="33"/>
      <c r="BL472" s="33"/>
      <c r="BM472" s="33"/>
      <c r="BN472" s="33"/>
      <c r="BO472" s="33"/>
    </row>
    <row r="473" spans="1:67" ht="15.7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  <c r="BH473" s="33"/>
      <c r="BI473" s="33"/>
      <c r="BJ473" s="33"/>
      <c r="BK473" s="33"/>
      <c r="BL473" s="33"/>
      <c r="BM473" s="33"/>
      <c r="BN473" s="33"/>
      <c r="BO473" s="33"/>
    </row>
    <row r="474" spans="1:67" ht="15.7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  <c r="AO474" s="33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  <c r="BH474" s="33"/>
      <c r="BI474" s="33"/>
      <c r="BJ474" s="33"/>
      <c r="BK474" s="33"/>
      <c r="BL474" s="33"/>
      <c r="BM474" s="33"/>
      <c r="BN474" s="33"/>
      <c r="BO474" s="33"/>
    </row>
    <row r="475" spans="1:67" ht="15.7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  <c r="AO475" s="33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  <c r="BH475" s="33"/>
      <c r="BI475" s="33"/>
      <c r="BJ475" s="33"/>
      <c r="BK475" s="33"/>
      <c r="BL475" s="33"/>
      <c r="BM475" s="33"/>
      <c r="BN475" s="33"/>
      <c r="BO475" s="33"/>
    </row>
    <row r="476" spans="1:67" ht="15.7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  <c r="AO476" s="33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  <c r="BH476" s="33"/>
      <c r="BI476" s="33"/>
      <c r="BJ476" s="33"/>
      <c r="BK476" s="33"/>
      <c r="BL476" s="33"/>
      <c r="BM476" s="33"/>
      <c r="BN476" s="33"/>
      <c r="BO476" s="33"/>
    </row>
    <row r="477" spans="1:67" ht="15.7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  <c r="AO477" s="33"/>
      <c r="AP477" s="33"/>
      <c r="AQ477" s="33"/>
      <c r="AR477" s="33"/>
      <c r="AS477" s="33"/>
      <c r="AT477" s="33"/>
      <c r="AU477" s="33"/>
      <c r="AV477" s="33"/>
      <c r="AW477" s="33"/>
      <c r="AX477" s="33"/>
      <c r="AY477" s="33"/>
      <c r="AZ477" s="33"/>
      <c r="BA477" s="33"/>
      <c r="BB477" s="33"/>
      <c r="BC477" s="33"/>
      <c r="BD477" s="33"/>
      <c r="BE477" s="33"/>
      <c r="BF477" s="33"/>
      <c r="BG477" s="33"/>
      <c r="BH477" s="33"/>
      <c r="BI477" s="33"/>
      <c r="BJ477" s="33"/>
      <c r="BK477" s="33"/>
      <c r="BL477" s="33"/>
      <c r="BM477" s="33"/>
      <c r="BN477" s="33"/>
      <c r="BO477" s="33"/>
    </row>
    <row r="478" spans="1:67" ht="15.7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  <c r="AO478" s="33"/>
      <c r="AP478" s="33"/>
      <c r="AQ478" s="33"/>
      <c r="AR478" s="33"/>
      <c r="AS478" s="33"/>
      <c r="AT478" s="33"/>
      <c r="AU478" s="33"/>
      <c r="AV478" s="33"/>
      <c r="AW478" s="33"/>
      <c r="AX478" s="33"/>
      <c r="AY478" s="33"/>
      <c r="AZ478" s="33"/>
      <c r="BA478" s="33"/>
      <c r="BB478" s="33"/>
      <c r="BC478" s="33"/>
      <c r="BD478" s="33"/>
      <c r="BE478" s="33"/>
      <c r="BF478" s="33"/>
      <c r="BG478" s="33"/>
      <c r="BH478" s="33"/>
      <c r="BI478" s="33"/>
      <c r="BJ478" s="33"/>
      <c r="BK478" s="33"/>
      <c r="BL478" s="33"/>
      <c r="BM478" s="33"/>
      <c r="BN478" s="33"/>
      <c r="BO478" s="33"/>
    </row>
    <row r="479" spans="1:67" ht="15.7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  <c r="AO479" s="33"/>
      <c r="AP479" s="33"/>
      <c r="AQ479" s="33"/>
      <c r="AR479" s="33"/>
      <c r="AS479" s="33"/>
      <c r="AT479" s="33"/>
      <c r="AU479" s="33"/>
      <c r="AV479" s="33"/>
      <c r="AW479" s="33"/>
      <c r="AX479" s="33"/>
      <c r="AY479" s="33"/>
      <c r="AZ479" s="33"/>
      <c r="BA479" s="33"/>
      <c r="BB479" s="33"/>
      <c r="BC479" s="33"/>
      <c r="BD479" s="33"/>
      <c r="BE479" s="33"/>
      <c r="BF479" s="33"/>
      <c r="BG479" s="33"/>
      <c r="BH479" s="33"/>
      <c r="BI479" s="33"/>
      <c r="BJ479" s="33"/>
      <c r="BK479" s="33"/>
      <c r="BL479" s="33"/>
      <c r="BM479" s="33"/>
      <c r="BN479" s="33"/>
      <c r="BO479" s="33"/>
    </row>
    <row r="480" spans="1:67" ht="15.7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  <c r="AO480" s="33"/>
      <c r="AP480" s="33"/>
      <c r="AQ480" s="33"/>
      <c r="AR480" s="33"/>
      <c r="AS480" s="33"/>
      <c r="AT480" s="33"/>
      <c r="AU480" s="33"/>
      <c r="AV480" s="33"/>
      <c r="AW480" s="33"/>
      <c r="AX480" s="33"/>
      <c r="AY480" s="33"/>
      <c r="AZ480" s="33"/>
      <c r="BA480" s="33"/>
      <c r="BB480" s="33"/>
      <c r="BC480" s="33"/>
      <c r="BD480" s="33"/>
      <c r="BE480" s="33"/>
      <c r="BF480" s="33"/>
      <c r="BG480" s="33"/>
      <c r="BH480" s="33"/>
      <c r="BI480" s="33"/>
      <c r="BJ480" s="33"/>
      <c r="BK480" s="33"/>
      <c r="BL480" s="33"/>
      <c r="BM480" s="33"/>
      <c r="BN480" s="33"/>
      <c r="BO480" s="33"/>
    </row>
    <row r="481" spans="1:67" ht="15.7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  <c r="AO481" s="33"/>
      <c r="AP481" s="33"/>
      <c r="AQ481" s="33"/>
      <c r="AR481" s="33"/>
      <c r="AS481" s="33"/>
      <c r="AT481" s="33"/>
      <c r="AU481" s="33"/>
      <c r="AV481" s="33"/>
      <c r="AW481" s="33"/>
      <c r="AX481" s="33"/>
      <c r="AY481" s="33"/>
      <c r="AZ481" s="33"/>
      <c r="BA481" s="33"/>
      <c r="BB481" s="33"/>
      <c r="BC481" s="33"/>
      <c r="BD481" s="33"/>
      <c r="BE481" s="33"/>
      <c r="BF481" s="33"/>
      <c r="BG481" s="33"/>
      <c r="BH481" s="33"/>
      <c r="BI481" s="33"/>
      <c r="BJ481" s="33"/>
      <c r="BK481" s="33"/>
      <c r="BL481" s="33"/>
      <c r="BM481" s="33"/>
      <c r="BN481" s="33"/>
      <c r="BO481" s="33"/>
    </row>
    <row r="482" spans="1:67" ht="15.7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  <c r="AO482" s="33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  <c r="BH482" s="33"/>
      <c r="BI482" s="33"/>
      <c r="BJ482" s="33"/>
      <c r="BK482" s="33"/>
      <c r="BL482" s="33"/>
      <c r="BM482" s="33"/>
      <c r="BN482" s="33"/>
      <c r="BO482" s="33"/>
    </row>
    <row r="483" spans="1:67" ht="15.7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  <c r="BH483" s="33"/>
      <c r="BI483" s="33"/>
      <c r="BJ483" s="33"/>
      <c r="BK483" s="33"/>
      <c r="BL483" s="33"/>
      <c r="BM483" s="33"/>
      <c r="BN483" s="33"/>
      <c r="BO483" s="33"/>
    </row>
    <row r="484" spans="1:67" ht="15.7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  <c r="BH484" s="33"/>
      <c r="BI484" s="33"/>
      <c r="BJ484" s="33"/>
      <c r="BK484" s="33"/>
      <c r="BL484" s="33"/>
      <c r="BM484" s="33"/>
      <c r="BN484" s="33"/>
      <c r="BO484" s="33"/>
    </row>
    <row r="485" spans="1:67" ht="15.7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33"/>
      <c r="BJ485" s="33"/>
      <c r="BK485" s="33"/>
      <c r="BL485" s="33"/>
      <c r="BM485" s="33"/>
      <c r="BN485" s="33"/>
      <c r="BO485" s="33"/>
    </row>
    <row r="486" spans="1:67" ht="15.7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33"/>
      <c r="BJ486" s="33"/>
      <c r="BK486" s="33"/>
      <c r="BL486" s="33"/>
      <c r="BM486" s="33"/>
      <c r="BN486" s="33"/>
      <c r="BO486" s="33"/>
    </row>
    <row r="487" spans="1:67" ht="15.7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  <c r="AP487" s="33"/>
      <c r="AQ487" s="33"/>
      <c r="AR487" s="33"/>
      <c r="AS487" s="33"/>
      <c r="AT487" s="33"/>
      <c r="AU487" s="33"/>
      <c r="AV487" s="33"/>
      <c r="AW487" s="33"/>
      <c r="AX487" s="33"/>
      <c r="AY487" s="33"/>
      <c r="AZ487" s="33"/>
      <c r="BA487" s="33"/>
      <c r="BB487" s="33"/>
      <c r="BC487" s="33"/>
      <c r="BD487" s="33"/>
      <c r="BE487" s="33"/>
      <c r="BF487" s="33"/>
      <c r="BG487" s="33"/>
      <c r="BH487" s="33"/>
      <c r="BI487" s="33"/>
      <c r="BJ487" s="33"/>
      <c r="BK487" s="33"/>
      <c r="BL487" s="33"/>
      <c r="BM487" s="33"/>
      <c r="BN487" s="33"/>
      <c r="BO487" s="33"/>
    </row>
    <row r="488" spans="1:67" ht="15.7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  <c r="AO488" s="33"/>
      <c r="AP488" s="33"/>
      <c r="AQ488" s="33"/>
      <c r="AR488" s="33"/>
      <c r="AS488" s="33"/>
      <c r="AT488" s="33"/>
      <c r="AU488" s="33"/>
      <c r="AV488" s="33"/>
      <c r="AW488" s="33"/>
      <c r="AX488" s="33"/>
      <c r="AY488" s="33"/>
      <c r="AZ488" s="33"/>
      <c r="BA488" s="33"/>
      <c r="BB488" s="33"/>
      <c r="BC488" s="33"/>
      <c r="BD488" s="33"/>
      <c r="BE488" s="33"/>
      <c r="BF488" s="33"/>
      <c r="BG488" s="33"/>
      <c r="BH488" s="33"/>
      <c r="BI488" s="33"/>
      <c r="BJ488" s="33"/>
      <c r="BK488" s="33"/>
      <c r="BL488" s="33"/>
      <c r="BM488" s="33"/>
      <c r="BN488" s="33"/>
      <c r="BO488" s="33"/>
    </row>
    <row r="489" spans="1:67" ht="15.7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  <c r="AO489" s="33"/>
      <c r="AP489" s="33"/>
      <c r="AQ489" s="33"/>
      <c r="AR489" s="33"/>
      <c r="AS489" s="33"/>
      <c r="AT489" s="33"/>
      <c r="AU489" s="33"/>
      <c r="AV489" s="33"/>
      <c r="AW489" s="33"/>
      <c r="AX489" s="33"/>
      <c r="AY489" s="33"/>
      <c r="AZ489" s="33"/>
      <c r="BA489" s="33"/>
      <c r="BB489" s="33"/>
      <c r="BC489" s="33"/>
      <c r="BD489" s="33"/>
      <c r="BE489" s="33"/>
      <c r="BF489" s="33"/>
      <c r="BG489" s="33"/>
      <c r="BH489" s="33"/>
      <c r="BI489" s="33"/>
      <c r="BJ489" s="33"/>
      <c r="BK489" s="33"/>
      <c r="BL489" s="33"/>
      <c r="BM489" s="33"/>
      <c r="BN489" s="33"/>
      <c r="BO489" s="33"/>
    </row>
    <row r="490" spans="1:67" ht="15.7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  <c r="AO490" s="33"/>
      <c r="AP490" s="33"/>
      <c r="AQ490" s="33"/>
      <c r="AR490" s="33"/>
      <c r="AS490" s="33"/>
      <c r="AT490" s="33"/>
      <c r="AU490" s="33"/>
      <c r="AV490" s="33"/>
      <c r="AW490" s="33"/>
      <c r="AX490" s="33"/>
      <c r="AY490" s="33"/>
      <c r="AZ490" s="33"/>
      <c r="BA490" s="33"/>
      <c r="BB490" s="33"/>
      <c r="BC490" s="33"/>
      <c r="BD490" s="33"/>
      <c r="BE490" s="33"/>
      <c r="BF490" s="33"/>
      <c r="BG490" s="33"/>
      <c r="BH490" s="33"/>
      <c r="BI490" s="33"/>
      <c r="BJ490" s="33"/>
      <c r="BK490" s="33"/>
      <c r="BL490" s="33"/>
      <c r="BM490" s="33"/>
      <c r="BN490" s="33"/>
      <c r="BO490" s="33"/>
    </row>
    <row r="491" spans="1:67" ht="15.7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  <c r="AO491" s="33"/>
      <c r="AP491" s="33"/>
      <c r="AQ491" s="33"/>
      <c r="AR491" s="33"/>
      <c r="AS491" s="33"/>
      <c r="AT491" s="33"/>
      <c r="AU491" s="33"/>
      <c r="AV491" s="33"/>
      <c r="AW491" s="33"/>
      <c r="AX491" s="33"/>
      <c r="AY491" s="33"/>
      <c r="AZ491" s="33"/>
      <c r="BA491" s="33"/>
      <c r="BB491" s="33"/>
      <c r="BC491" s="33"/>
      <c r="BD491" s="33"/>
      <c r="BE491" s="33"/>
      <c r="BF491" s="33"/>
      <c r="BG491" s="33"/>
      <c r="BH491" s="33"/>
      <c r="BI491" s="33"/>
      <c r="BJ491" s="33"/>
      <c r="BK491" s="33"/>
      <c r="BL491" s="33"/>
      <c r="BM491" s="33"/>
      <c r="BN491" s="33"/>
      <c r="BO491" s="33"/>
    </row>
    <row r="492" spans="1:67" ht="15.7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  <c r="AO492" s="33"/>
      <c r="AP492" s="33"/>
      <c r="AQ492" s="33"/>
      <c r="AR492" s="33"/>
      <c r="AS492" s="33"/>
      <c r="AT492" s="33"/>
      <c r="AU492" s="33"/>
      <c r="AV492" s="33"/>
      <c r="AW492" s="33"/>
      <c r="AX492" s="33"/>
      <c r="AY492" s="33"/>
      <c r="AZ492" s="33"/>
      <c r="BA492" s="33"/>
      <c r="BB492" s="33"/>
      <c r="BC492" s="33"/>
      <c r="BD492" s="33"/>
      <c r="BE492" s="33"/>
      <c r="BF492" s="33"/>
      <c r="BG492" s="33"/>
      <c r="BH492" s="33"/>
      <c r="BI492" s="33"/>
      <c r="BJ492" s="33"/>
      <c r="BK492" s="33"/>
      <c r="BL492" s="33"/>
      <c r="BM492" s="33"/>
      <c r="BN492" s="33"/>
      <c r="BO492" s="33"/>
    </row>
    <row r="493" spans="1:67" ht="15.7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  <c r="AO493" s="33"/>
      <c r="AP493" s="33"/>
      <c r="AQ493" s="33"/>
      <c r="AR493" s="33"/>
      <c r="AS493" s="33"/>
      <c r="AT493" s="33"/>
      <c r="AU493" s="33"/>
      <c r="AV493" s="33"/>
      <c r="AW493" s="33"/>
      <c r="AX493" s="33"/>
      <c r="AY493" s="33"/>
      <c r="AZ493" s="33"/>
      <c r="BA493" s="33"/>
      <c r="BB493" s="33"/>
      <c r="BC493" s="33"/>
      <c r="BD493" s="33"/>
      <c r="BE493" s="33"/>
      <c r="BF493" s="33"/>
      <c r="BG493" s="33"/>
      <c r="BH493" s="33"/>
      <c r="BI493" s="33"/>
      <c r="BJ493" s="33"/>
      <c r="BK493" s="33"/>
      <c r="BL493" s="33"/>
      <c r="BM493" s="33"/>
      <c r="BN493" s="33"/>
      <c r="BO493" s="33"/>
    </row>
    <row r="494" spans="1:67" ht="15.7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  <c r="AO494" s="33"/>
      <c r="AP494" s="33"/>
      <c r="AQ494" s="33"/>
      <c r="AR494" s="33"/>
      <c r="AS494" s="33"/>
      <c r="AT494" s="33"/>
      <c r="AU494" s="33"/>
      <c r="AV494" s="33"/>
      <c r="AW494" s="33"/>
      <c r="AX494" s="33"/>
      <c r="AY494" s="33"/>
      <c r="AZ494" s="33"/>
      <c r="BA494" s="33"/>
      <c r="BB494" s="33"/>
      <c r="BC494" s="33"/>
      <c r="BD494" s="33"/>
      <c r="BE494" s="33"/>
      <c r="BF494" s="33"/>
      <c r="BG494" s="33"/>
      <c r="BH494" s="33"/>
      <c r="BI494" s="33"/>
      <c r="BJ494" s="33"/>
      <c r="BK494" s="33"/>
      <c r="BL494" s="33"/>
      <c r="BM494" s="33"/>
      <c r="BN494" s="33"/>
      <c r="BO494" s="33"/>
    </row>
    <row r="495" spans="1:67" ht="15.7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  <c r="AO495" s="33"/>
      <c r="AP495" s="33"/>
      <c r="AQ495" s="33"/>
      <c r="AR495" s="33"/>
      <c r="AS495" s="33"/>
      <c r="AT495" s="33"/>
      <c r="AU495" s="33"/>
      <c r="AV495" s="33"/>
      <c r="AW495" s="33"/>
      <c r="AX495" s="33"/>
      <c r="AY495" s="33"/>
      <c r="AZ495" s="33"/>
      <c r="BA495" s="33"/>
      <c r="BB495" s="33"/>
      <c r="BC495" s="33"/>
      <c r="BD495" s="33"/>
      <c r="BE495" s="33"/>
      <c r="BF495" s="33"/>
      <c r="BG495" s="33"/>
      <c r="BH495" s="33"/>
      <c r="BI495" s="33"/>
      <c r="BJ495" s="33"/>
      <c r="BK495" s="33"/>
      <c r="BL495" s="33"/>
      <c r="BM495" s="33"/>
      <c r="BN495" s="33"/>
      <c r="BO495" s="33"/>
    </row>
    <row r="496" spans="1:67" ht="15.7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  <c r="AO496" s="33"/>
      <c r="AP496" s="33"/>
      <c r="AQ496" s="33"/>
      <c r="AR496" s="33"/>
      <c r="AS496" s="33"/>
      <c r="AT496" s="33"/>
      <c r="AU496" s="33"/>
      <c r="AV496" s="33"/>
      <c r="AW496" s="33"/>
      <c r="AX496" s="33"/>
      <c r="AY496" s="33"/>
      <c r="AZ496" s="33"/>
      <c r="BA496" s="33"/>
      <c r="BB496" s="33"/>
      <c r="BC496" s="33"/>
      <c r="BD496" s="33"/>
      <c r="BE496" s="33"/>
      <c r="BF496" s="33"/>
      <c r="BG496" s="33"/>
      <c r="BH496" s="33"/>
      <c r="BI496" s="33"/>
      <c r="BJ496" s="33"/>
      <c r="BK496" s="33"/>
      <c r="BL496" s="33"/>
      <c r="BM496" s="33"/>
      <c r="BN496" s="33"/>
      <c r="BO496" s="33"/>
    </row>
    <row r="497" spans="1:67" ht="15.7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  <c r="AO497" s="33"/>
      <c r="AP497" s="33"/>
      <c r="AQ497" s="33"/>
      <c r="AR497" s="33"/>
      <c r="AS497" s="33"/>
      <c r="AT497" s="33"/>
      <c r="AU497" s="33"/>
      <c r="AV497" s="33"/>
      <c r="AW497" s="33"/>
      <c r="AX497" s="33"/>
      <c r="AY497" s="33"/>
      <c r="AZ497" s="33"/>
      <c r="BA497" s="33"/>
      <c r="BB497" s="33"/>
      <c r="BC497" s="33"/>
      <c r="BD497" s="33"/>
      <c r="BE497" s="33"/>
      <c r="BF497" s="33"/>
      <c r="BG497" s="33"/>
      <c r="BH497" s="33"/>
      <c r="BI497" s="33"/>
      <c r="BJ497" s="33"/>
      <c r="BK497" s="33"/>
      <c r="BL497" s="33"/>
      <c r="BM497" s="33"/>
      <c r="BN497" s="33"/>
      <c r="BO497" s="33"/>
    </row>
    <row r="498" spans="1:67" ht="15.7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  <c r="AO498" s="33"/>
      <c r="AP498" s="33"/>
      <c r="AQ498" s="33"/>
      <c r="AR498" s="33"/>
      <c r="AS498" s="33"/>
      <c r="AT498" s="33"/>
      <c r="AU498" s="33"/>
      <c r="AV498" s="33"/>
      <c r="AW498" s="33"/>
      <c r="AX498" s="33"/>
      <c r="AY498" s="33"/>
      <c r="AZ498" s="33"/>
      <c r="BA498" s="33"/>
      <c r="BB498" s="33"/>
      <c r="BC498" s="33"/>
      <c r="BD498" s="33"/>
      <c r="BE498" s="33"/>
      <c r="BF498" s="33"/>
      <c r="BG498" s="33"/>
      <c r="BH498" s="33"/>
      <c r="BI498" s="33"/>
      <c r="BJ498" s="33"/>
      <c r="BK498" s="33"/>
      <c r="BL498" s="33"/>
      <c r="BM498" s="33"/>
      <c r="BN498" s="33"/>
      <c r="BO498" s="33"/>
    </row>
    <row r="499" spans="1:67" ht="15.7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  <c r="AO499" s="33"/>
      <c r="AP499" s="33"/>
      <c r="AQ499" s="33"/>
      <c r="AR499" s="33"/>
      <c r="AS499" s="33"/>
      <c r="AT499" s="33"/>
      <c r="AU499" s="33"/>
      <c r="AV499" s="33"/>
      <c r="AW499" s="33"/>
      <c r="AX499" s="33"/>
      <c r="AY499" s="33"/>
      <c r="AZ499" s="33"/>
      <c r="BA499" s="33"/>
      <c r="BB499" s="33"/>
      <c r="BC499" s="33"/>
      <c r="BD499" s="33"/>
      <c r="BE499" s="33"/>
      <c r="BF499" s="33"/>
      <c r="BG499" s="33"/>
      <c r="BH499" s="33"/>
      <c r="BI499" s="33"/>
      <c r="BJ499" s="33"/>
      <c r="BK499" s="33"/>
      <c r="BL499" s="33"/>
      <c r="BM499" s="33"/>
      <c r="BN499" s="33"/>
      <c r="BO499" s="33"/>
    </row>
    <row r="500" spans="1:67" ht="15.7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</row>
    <row r="501" spans="1:67" ht="15.7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  <c r="AO501" s="33"/>
      <c r="AP501" s="33"/>
      <c r="AQ501" s="33"/>
      <c r="AR501" s="33"/>
      <c r="AS501" s="33"/>
      <c r="AT501" s="33"/>
      <c r="AU501" s="33"/>
      <c r="AV501" s="33"/>
      <c r="AW501" s="33"/>
      <c r="AX501" s="33"/>
      <c r="AY501" s="33"/>
      <c r="AZ501" s="33"/>
      <c r="BA501" s="33"/>
      <c r="BB501" s="33"/>
      <c r="BC501" s="33"/>
      <c r="BD501" s="33"/>
      <c r="BE501" s="33"/>
      <c r="BF501" s="33"/>
      <c r="BG501" s="33"/>
      <c r="BH501" s="33"/>
      <c r="BI501" s="33"/>
      <c r="BJ501" s="33"/>
      <c r="BK501" s="33"/>
      <c r="BL501" s="33"/>
      <c r="BM501" s="33"/>
      <c r="BN501" s="33"/>
      <c r="BO501" s="33"/>
    </row>
    <row r="502" spans="1:67" ht="15.7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  <c r="AO502" s="33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  <c r="BH502" s="33"/>
      <c r="BI502" s="33"/>
      <c r="BJ502" s="33"/>
      <c r="BK502" s="33"/>
      <c r="BL502" s="33"/>
      <c r="BM502" s="33"/>
      <c r="BN502" s="33"/>
      <c r="BO502" s="33"/>
    </row>
    <row r="503" spans="1:67" ht="15.7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</row>
    <row r="504" spans="1:67" ht="15.7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  <c r="AO504" s="33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  <c r="BH504" s="33"/>
      <c r="BI504" s="33"/>
      <c r="BJ504" s="33"/>
      <c r="BK504" s="33"/>
      <c r="BL504" s="33"/>
      <c r="BM504" s="33"/>
      <c r="BN504" s="33"/>
      <c r="BO504" s="33"/>
    </row>
    <row r="505" spans="1:67" ht="15.7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  <c r="BH505" s="33"/>
      <c r="BI505" s="33"/>
      <c r="BJ505" s="33"/>
      <c r="BK505" s="33"/>
      <c r="BL505" s="33"/>
      <c r="BM505" s="33"/>
      <c r="BN505" s="33"/>
      <c r="BO505" s="33"/>
    </row>
    <row r="506" spans="1:67" ht="15.7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  <c r="BH506" s="33"/>
      <c r="BI506" s="33"/>
      <c r="BJ506" s="33"/>
      <c r="BK506" s="33"/>
      <c r="BL506" s="33"/>
      <c r="BM506" s="33"/>
      <c r="BN506" s="33"/>
      <c r="BO506" s="33"/>
    </row>
    <row r="507" spans="1:67" ht="15.7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33"/>
      <c r="BJ507" s="33"/>
      <c r="BK507" s="33"/>
      <c r="BL507" s="33"/>
      <c r="BM507" s="33"/>
      <c r="BN507" s="33"/>
      <c r="BO507" s="33"/>
    </row>
    <row r="508" spans="1:67" ht="15.7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33"/>
      <c r="BJ508" s="33"/>
      <c r="BK508" s="33"/>
      <c r="BL508" s="33"/>
      <c r="BM508" s="33"/>
      <c r="BN508" s="33"/>
      <c r="BO508" s="33"/>
    </row>
    <row r="509" spans="1:67" ht="15.7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33"/>
      <c r="BJ509" s="33"/>
      <c r="BK509" s="33"/>
      <c r="BL509" s="33"/>
      <c r="BM509" s="33"/>
      <c r="BN509" s="33"/>
      <c r="BO509" s="33"/>
    </row>
    <row r="510" spans="1:67" ht="15.7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  <c r="AO510" s="33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  <c r="BH510" s="33"/>
      <c r="BI510" s="33"/>
      <c r="BJ510" s="33"/>
      <c r="BK510" s="33"/>
      <c r="BL510" s="33"/>
      <c r="BM510" s="33"/>
      <c r="BN510" s="33"/>
      <c r="BO510" s="33"/>
    </row>
    <row r="511" spans="1:67" ht="15.7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  <c r="AO511" s="33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  <c r="BH511" s="33"/>
      <c r="BI511" s="33"/>
      <c r="BJ511" s="33"/>
      <c r="BK511" s="33"/>
      <c r="BL511" s="33"/>
      <c r="BM511" s="33"/>
      <c r="BN511" s="33"/>
      <c r="BO511" s="33"/>
    </row>
    <row r="512" spans="1:67" ht="15.7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  <c r="AO512" s="33"/>
      <c r="AP512" s="33"/>
      <c r="AQ512" s="33"/>
      <c r="AR512" s="33"/>
      <c r="AS512" s="33"/>
      <c r="AT512" s="33"/>
      <c r="AU512" s="33"/>
      <c r="AV512" s="33"/>
      <c r="AW512" s="33"/>
      <c r="AX512" s="33"/>
      <c r="AY512" s="33"/>
      <c r="AZ512" s="33"/>
      <c r="BA512" s="33"/>
      <c r="BB512" s="33"/>
      <c r="BC512" s="33"/>
      <c r="BD512" s="33"/>
      <c r="BE512" s="33"/>
      <c r="BF512" s="33"/>
      <c r="BG512" s="33"/>
      <c r="BH512" s="33"/>
      <c r="BI512" s="33"/>
      <c r="BJ512" s="33"/>
      <c r="BK512" s="33"/>
      <c r="BL512" s="33"/>
      <c r="BM512" s="33"/>
      <c r="BN512" s="33"/>
      <c r="BO512" s="33"/>
    </row>
    <row r="513" spans="1:67" ht="15.7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  <c r="AO513" s="33"/>
      <c r="AP513" s="33"/>
      <c r="AQ513" s="33"/>
      <c r="AR513" s="33"/>
      <c r="AS513" s="33"/>
      <c r="AT513" s="33"/>
      <c r="AU513" s="33"/>
      <c r="AV513" s="33"/>
      <c r="AW513" s="33"/>
      <c r="AX513" s="33"/>
      <c r="AY513" s="33"/>
      <c r="AZ513" s="33"/>
      <c r="BA513" s="33"/>
      <c r="BB513" s="33"/>
      <c r="BC513" s="33"/>
      <c r="BD513" s="33"/>
      <c r="BE513" s="33"/>
      <c r="BF513" s="33"/>
      <c r="BG513" s="33"/>
      <c r="BH513" s="33"/>
      <c r="BI513" s="33"/>
      <c r="BJ513" s="33"/>
      <c r="BK513" s="33"/>
      <c r="BL513" s="33"/>
      <c r="BM513" s="33"/>
      <c r="BN513" s="33"/>
      <c r="BO513" s="33"/>
    </row>
    <row r="514" spans="1:67" ht="15.7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  <c r="AO514" s="33"/>
      <c r="AP514" s="33"/>
      <c r="AQ514" s="33"/>
      <c r="AR514" s="33"/>
      <c r="AS514" s="33"/>
      <c r="AT514" s="33"/>
      <c r="AU514" s="33"/>
      <c r="AV514" s="33"/>
      <c r="AW514" s="33"/>
      <c r="AX514" s="33"/>
      <c r="AY514" s="33"/>
      <c r="AZ514" s="33"/>
      <c r="BA514" s="33"/>
      <c r="BB514" s="33"/>
      <c r="BC514" s="33"/>
      <c r="BD514" s="33"/>
      <c r="BE514" s="33"/>
      <c r="BF514" s="33"/>
      <c r="BG514" s="33"/>
      <c r="BH514" s="33"/>
      <c r="BI514" s="33"/>
      <c r="BJ514" s="33"/>
      <c r="BK514" s="33"/>
      <c r="BL514" s="33"/>
      <c r="BM514" s="33"/>
      <c r="BN514" s="33"/>
      <c r="BO514" s="33"/>
    </row>
    <row r="515" spans="1:67" ht="15.7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  <c r="AO515" s="33"/>
      <c r="AP515" s="33"/>
      <c r="AQ515" s="33"/>
      <c r="AR515" s="33"/>
      <c r="AS515" s="33"/>
      <c r="AT515" s="33"/>
      <c r="AU515" s="33"/>
      <c r="AV515" s="33"/>
      <c r="AW515" s="33"/>
      <c r="AX515" s="33"/>
      <c r="AY515" s="33"/>
      <c r="AZ515" s="33"/>
      <c r="BA515" s="33"/>
      <c r="BB515" s="33"/>
      <c r="BC515" s="33"/>
      <c r="BD515" s="33"/>
      <c r="BE515" s="33"/>
      <c r="BF515" s="33"/>
      <c r="BG515" s="33"/>
      <c r="BH515" s="33"/>
      <c r="BI515" s="33"/>
      <c r="BJ515" s="33"/>
      <c r="BK515" s="33"/>
      <c r="BL515" s="33"/>
      <c r="BM515" s="33"/>
      <c r="BN515" s="33"/>
      <c r="BO515" s="33"/>
    </row>
    <row r="516" spans="1:67" ht="15.7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  <c r="AO516" s="33"/>
      <c r="AP516" s="33"/>
      <c r="AQ516" s="33"/>
      <c r="AR516" s="33"/>
      <c r="AS516" s="33"/>
      <c r="AT516" s="33"/>
      <c r="AU516" s="33"/>
      <c r="AV516" s="33"/>
      <c r="AW516" s="33"/>
      <c r="AX516" s="33"/>
      <c r="AY516" s="33"/>
      <c r="AZ516" s="33"/>
      <c r="BA516" s="33"/>
      <c r="BB516" s="33"/>
      <c r="BC516" s="33"/>
      <c r="BD516" s="33"/>
      <c r="BE516" s="33"/>
      <c r="BF516" s="33"/>
      <c r="BG516" s="33"/>
      <c r="BH516" s="33"/>
      <c r="BI516" s="33"/>
      <c r="BJ516" s="33"/>
      <c r="BK516" s="33"/>
      <c r="BL516" s="33"/>
      <c r="BM516" s="33"/>
      <c r="BN516" s="33"/>
      <c r="BO516" s="33"/>
    </row>
    <row r="517" spans="1:67" ht="15.7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  <c r="AO517" s="33"/>
      <c r="AP517" s="33"/>
      <c r="AQ517" s="33"/>
      <c r="AR517" s="33"/>
      <c r="AS517" s="33"/>
      <c r="AT517" s="33"/>
      <c r="AU517" s="33"/>
      <c r="AV517" s="33"/>
      <c r="AW517" s="33"/>
      <c r="AX517" s="33"/>
      <c r="AY517" s="33"/>
      <c r="AZ517" s="33"/>
      <c r="BA517" s="33"/>
      <c r="BB517" s="33"/>
      <c r="BC517" s="33"/>
      <c r="BD517" s="33"/>
      <c r="BE517" s="33"/>
      <c r="BF517" s="33"/>
      <c r="BG517" s="33"/>
      <c r="BH517" s="33"/>
      <c r="BI517" s="33"/>
      <c r="BJ517" s="33"/>
      <c r="BK517" s="33"/>
      <c r="BL517" s="33"/>
      <c r="BM517" s="33"/>
      <c r="BN517" s="33"/>
      <c r="BO517" s="33"/>
    </row>
    <row r="518" spans="1:67" ht="15.7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  <c r="AO518" s="33"/>
      <c r="AP518" s="33"/>
      <c r="AQ518" s="33"/>
      <c r="AR518" s="33"/>
      <c r="AS518" s="33"/>
      <c r="AT518" s="33"/>
      <c r="AU518" s="33"/>
      <c r="AV518" s="33"/>
      <c r="AW518" s="33"/>
      <c r="AX518" s="33"/>
      <c r="AY518" s="33"/>
      <c r="AZ518" s="33"/>
      <c r="BA518" s="33"/>
      <c r="BB518" s="33"/>
      <c r="BC518" s="33"/>
      <c r="BD518" s="33"/>
      <c r="BE518" s="33"/>
      <c r="BF518" s="33"/>
      <c r="BG518" s="33"/>
      <c r="BH518" s="33"/>
      <c r="BI518" s="33"/>
      <c r="BJ518" s="33"/>
      <c r="BK518" s="33"/>
      <c r="BL518" s="33"/>
      <c r="BM518" s="33"/>
      <c r="BN518" s="33"/>
      <c r="BO518" s="33"/>
    </row>
    <row r="519" spans="1:67" ht="15.7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  <c r="AO519" s="33"/>
      <c r="AP519" s="33"/>
      <c r="AQ519" s="33"/>
      <c r="AR519" s="33"/>
      <c r="AS519" s="33"/>
      <c r="AT519" s="33"/>
      <c r="AU519" s="33"/>
      <c r="AV519" s="33"/>
      <c r="AW519" s="33"/>
      <c r="AX519" s="33"/>
      <c r="AY519" s="33"/>
      <c r="AZ519" s="33"/>
      <c r="BA519" s="33"/>
      <c r="BB519" s="33"/>
      <c r="BC519" s="33"/>
      <c r="BD519" s="33"/>
      <c r="BE519" s="33"/>
      <c r="BF519" s="33"/>
      <c r="BG519" s="33"/>
      <c r="BH519" s="33"/>
      <c r="BI519" s="33"/>
      <c r="BJ519" s="33"/>
      <c r="BK519" s="33"/>
      <c r="BL519" s="33"/>
      <c r="BM519" s="33"/>
      <c r="BN519" s="33"/>
      <c r="BO519" s="33"/>
    </row>
    <row r="520" spans="1:67" ht="15.7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  <c r="AO520" s="33"/>
      <c r="AP520" s="33"/>
      <c r="AQ520" s="33"/>
      <c r="AR520" s="33"/>
      <c r="AS520" s="33"/>
      <c r="AT520" s="33"/>
      <c r="AU520" s="33"/>
      <c r="AV520" s="33"/>
      <c r="AW520" s="33"/>
      <c r="AX520" s="33"/>
      <c r="AY520" s="33"/>
      <c r="AZ520" s="33"/>
      <c r="BA520" s="33"/>
      <c r="BB520" s="33"/>
      <c r="BC520" s="33"/>
      <c r="BD520" s="33"/>
      <c r="BE520" s="33"/>
      <c r="BF520" s="33"/>
      <c r="BG520" s="33"/>
      <c r="BH520" s="33"/>
      <c r="BI520" s="33"/>
      <c r="BJ520" s="33"/>
      <c r="BK520" s="33"/>
      <c r="BL520" s="33"/>
      <c r="BM520" s="33"/>
      <c r="BN520" s="33"/>
      <c r="BO520" s="33"/>
    </row>
    <row r="521" spans="1:67" ht="15.7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  <c r="AO521" s="33"/>
      <c r="AP521" s="33"/>
      <c r="AQ521" s="33"/>
      <c r="AR521" s="33"/>
      <c r="AS521" s="33"/>
      <c r="AT521" s="33"/>
      <c r="AU521" s="33"/>
      <c r="AV521" s="33"/>
      <c r="AW521" s="33"/>
      <c r="AX521" s="33"/>
      <c r="AY521" s="33"/>
      <c r="AZ521" s="33"/>
      <c r="BA521" s="33"/>
      <c r="BB521" s="33"/>
      <c r="BC521" s="33"/>
      <c r="BD521" s="33"/>
      <c r="BE521" s="33"/>
      <c r="BF521" s="33"/>
      <c r="BG521" s="33"/>
      <c r="BH521" s="33"/>
      <c r="BI521" s="33"/>
      <c r="BJ521" s="33"/>
      <c r="BK521" s="33"/>
      <c r="BL521" s="33"/>
      <c r="BM521" s="33"/>
      <c r="BN521" s="33"/>
      <c r="BO521" s="33"/>
    </row>
    <row r="522" spans="1:67" ht="15.7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  <c r="AO522" s="33"/>
      <c r="AP522" s="33"/>
      <c r="AQ522" s="33"/>
      <c r="AR522" s="33"/>
      <c r="AS522" s="33"/>
      <c r="AT522" s="33"/>
      <c r="AU522" s="33"/>
      <c r="AV522" s="33"/>
      <c r="AW522" s="33"/>
      <c r="AX522" s="33"/>
      <c r="AY522" s="33"/>
      <c r="AZ522" s="33"/>
      <c r="BA522" s="33"/>
      <c r="BB522" s="33"/>
      <c r="BC522" s="33"/>
      <c r="BD522" s="33"/>
      <c r="BE522" s="33"/>
      <c r="BF522" s="33"/>
      <c r="BG522" s="33"/>
      <c r="BH522" s="33"/>
      <c r="BI522" s="33"/>
      <c r="BJ522" s="33"/>
      <c r="BK522" s="33"/>
      <c r="BL522" s="33"/>
      <c r="BM522" s="33"/>
      <c r="BN522" s="33"/>
      <c r="BO522" s="33"/>
    </row>
    <row r="523" spans="1:67" ht="15.7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  <c r="AO523" s="33"/>
      <c r="AP523" s="33"/>
      <c r="AQ523" s="33"/>
      <c r="AR523" s="33"/>
      <c r="AS523" s="33"/>
      <c r="AT523" s="33"/>
      <c r="AU523" s="33"/>
      <c r="AV523" s="33"/>
      <c r="AW523" s="33"/>
      <c r="AX523" s="33"/>
      <c r="AY523" s="33"/>
      <c r="AZ523" s="33"/>
      <c r="BA523" s="33"/>
      <c r="BB523" s="33"/>
      <c r="BC523" s="33"/>
      <c r="BD523" s="33"/>
      <c r="BE523" s="33"/>
      <c r="BF523" s="33"/>
      <c r="BG523" s="33"/>
      <c r="BH523" s="33"/>
      <c r="BI523" s="33"/>
      <c r="BJ523" s="33"/>
      <c r="BK523" s="33"/>
      <c r="BL523" s="33"/>
      <c r="BM523" s="33"/>
      <c r="BN523" s="33"/>
      <c r="BO523" s="33"/>
    </row>
    <row r="524" spans="1:67" ht="15.7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  <c r="AO524" s="33"/>
      <c r="AP524" s="33"/>
      <c r="AQ524" s="33"/>
      <c r="AR524" s="33"/>
      <c r="AS524" s="33"/>
      <c r="AT524" s="33"/>
      <c r="AU524" s="33"/>
      <c r="AV524" s="33"/>
      <c r="AW524" s="33"/>
      <c r="AX524" s="33"/>
      <c r="AY524" s="33"/>
      <c r="AZ524" s="33"/>
      <c r="BA524" s="33"/>
      <c r="BB524" s="33"/>
      <c r="BC524" s="33"/>
      <c r="BD524" s="33"/>
      <c r="BE524" s="33"/>
      <c r="BF524" s="33"/>
      <c r="BG524" s="33"/>
      <c r="BH524" s="33"/>
      <c r="BI524" s="33"/>
      <c r="BJ524" s="33"/>
      <c r="BK524" s="33"/>
      <c r="BL524" s="33"/>
      <c r="BM524" s="33"/>
      <c r="BN524" s="33"/>
      <c r="BO524" s="33"/>
    </row>
    <row r="525" spans="1:67" ht="15.7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  <c r="AO525" s="33"/>
      <c r="AP525" s="33"/>
      <c r="AQ525" s="33"/>
      <c r="AR525" s="33"/>
      <c r="AS525" s="33"/>
      <c r="AT525" s="33"/>
      <c r="AU525" s="33"/>
      <c r="AV525" s="33"/>
      <c r="AW525" s="33"/>
      <c r="AX525" s="33"/>
      <c r="AY525" s="33"/>
      <c r="AZ525" s="33"/>
      <c r="BA525" s="33"/>
      <c r="BB525" s="33"/>
      <c r="BC525" s="33"/>
      <c r="BD525" s="33"/>
      <c r="BE525" s="33"/>
      <c r="BF525" s="33"/>
      <c r="BG525" s="33"/>
      <c r="BH525" s="33"/>
      <c r="BI525" s="33"/>
      <c r="BJ525" s="33"/>
      <c r="BK525" s="33"/>
      <c r="BL525" s="33"/>
      <c r="BM525" s="33"/>
      <c r="BN525" s="33"/>
      <c r="BO525" s="33"/>
    </row>
    <row r="526" spans="1:67" ht="15.7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  <c r="AO526" s="33"/>
      <c r="AP526" s="33"/>
      <c r="AQ526" s="33"/>
      <c r="AR526" s="33"/>
      <c r="AS526" s="33"/>
      <c r="AT526" s="33"/>
      <c r="AU526" s="33"/>
      <c r="AV526" s="33"/>
      <c r="AW526" s="33"/>
      <c r="AX526" s="33"/>
      <c r="AY526" s="33"/>
      <c r="AZ526" s="33"/>
      <c r="BA526" s="33"/>
      <c r="BB526" s="33"/>
      <c r="BC526" s="33"/>
      <c r="BD526" s="33"/>
      <c r="BE526" s="33"/>
      <c r="BF526" s="33"/>
      <c r="BG526" s="33"/>
      <c r="BH526" s="33"/>
      <c r="BI526" s="33"/>
      <c r="BJ526" s="33"/>
      <c r="BK526" s="33"/>
      <c r="BL526" s="33"/>
      <c r="BM526" s="33"/>
      <c r="BN526" s="33"/>
      <c r="BO526" s="33"/>
    </row>
    <row r="527" spans="1:67" ht="15.7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  <c r="AP527" s="33"/>
      <c r="AQ527" s="33"/>
      <c r="AR527" s="33"/>
      <c r="AS527" s="33"/>
      <c r="AT527" s="33"/>
      <c r="AU527" s="33"/>
      <c r="AV527" s="33"/>
      <c r="AW527" s="33"/>
      <c r="AX527" s="33"/>
      <c r="AY527" s="33"/>
      <c r="AZ527" s="33"/>
      <c r="BA527" s="33"/>
      <c r="BB527" s="33"/>
      <c r="BC527" s="33"/>
      <c r="BD527" s="33"/>
      <c r="BE527" s="33"/>
      <c r="BF527" s="33"/>
      <c r="BG527" s="33"/>
      <c r="BH527" s="33"/>
      <c r="BI527" s="33"/>
      <c r="BJ527" s="33"/>
      <c r="BK527" s="33"/>
      <c r="BL527" s="33"/>
      <c r="BM527" s="33"/>
      <c r="BN527" s="33"/>
      <c r="BO527" s="33"/>
    </row>
    <row r="528" spans="1:67" ht="15.7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  <c r="AP528" s="33"/>
      <c r="AQ528" s="33"/>
      <c r="AR528" s="33"/>
      <c r="AS528" s="33"/>
      <c r="AT528" s="33"/>
      <c r="AU528" s="33"/>
      <c r="AV528" s="33"/>
      <c r="AW528" s="33"/>
      <c r="AX528" s="33"/>
      <c r="AY528" s="33"/>
      <c r="AZ528" s="33"/>
      <c r="BA528" s="33"/>
      <c r="BB528" s="33"/>
      <c r="BC528" s="33"/>
      <c r="BD528" s="33"/>
      <c r="BE528" s="33"/>
      <c r="BF528" s="33"/>
      <c r="BG528" s="33"/>
      <c r="BH528" s="33"/>
      <c r="BI528" s="33"/>
      <c r="BJ528" s="33"/>
      <c r="BK528" s="33"/>
      <c r="BL528" s="33"/>
      <c r="BM528" s="33"/>
      <c r="BN528" s="33"/>
      <c r="BO528" s="33"/>
    </row>
    <row r="529" spans="1:67" ht="15.7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  <c r="AP529" s="33"/>
      <c r="AQ529" s="33"/>
      <c r="AR529" s="33"/>
      <c r="AS529" s="33"/>
      <c r="AT529" s="33"/>
      <c r="AU529" s="33"/>
      <c r="AV529" s="33"/>
      <c r="AW529" s="33"/>
      <c r="AX529" s="33"/>
      <c r="AY529" s="33"/>
      <c r="AZ529" s="33"/>
      <c r="BA529" s="33"/>
      <c r="BB529" s="33"/>
      <c r="BC529" s="33"/>
      <c r="BD529" s="33"/>
      <c r="BE529" s="33"/>
      <c r="BF529" s="33"/>
      <c r="BG529" s="33"/>
      <c r="BH529" s="33"/>
      <c r="BI529" s="33"/>
      <c r="BJ529" s="33"/>
      <c r="BK529" s="33"/>
      <c r="BL529" s="33"/>
      <c r="BM529" s="33"/>
      <c r="BN529" s="33"/>
      <c r="BO529" s="33"/>
    </row>
    <row r="530" spans="1:67" ht="15.7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  <c r="AP530" s="33"/>
      <c r="AQ530" s="33"/>
      <c r="AR530" s="33"/>
      <c r="AS530" s="33"/>
      <c r="AT530" s="33"/>
      <c r="AU530" s="33"/>
      <c r="AV530" s="33"/>
      <c r="AW530" s="33"/>
      <c r="AX530" s="33"/>
      <c r="AY530" s="33"/>
      <c r="AZ530" s="33"/>
      <c r="BA530" s="33"/>
      <c r="BB530" s="33"/>
      <c r="BC530" s="33"/>
      <c r="BD530" s="33"/>
      <c r="BE530" s="33"/>
      <c r="BF530" s="33"/>
      <c r="BG530" s="33"/>
      <c r="BH530" s="33"/>
      <c r="BI530" s="33"/>
      <c r="BJ530" s="33"/>
      <c r="BK530" s="33"/>
      <c r="BL530" s="33"/>
      <c r="BM530" s="33"/>
      <c r="BN530" s="33"/>
      <c r="BO530" s="33"/>
    </row>
    <row r="531" spans="1:67" ht="15.7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  <c r="AP531" s="33"/>
      <c r="AQ531" s="33"/>
      <c r="AR531" s="33"/>
      <c r="AS531" s="33"/>
      <c r="AT531" s="33"/>
      <c r="AU531" s="33"/>
      <c r="AV531" s="33"/>
      <c r="AW531" s="33"/>
      <c r="AX531" s="33"/>
      <c r="AY531" s="33"/>
      <c r="AZ531" s="33"/>
      <c r="BA531" s="33"/>
      <c r="BB531" s="33"/>
      <c r="BC531" s="33"/>
      <c r="BD531" s="33"/>
      <c r="BE531" s="33"/>
      <c r="BF531" s="33"/>
      <c r="BG531" s="33"/>
      <c r="BH531" s="33"/>
      <c r="BI531" s="33"/>
      <c r="BJ531" s="33"/>
      <c r="BK531" s="33"/>
      <c r="BL531" s="33"/>
      <c r="BM531" s="33"/>
      <c r="BN531" s="33"/>
      <c r="BO531" s="33"/>
    </row>
    <row r="532" spans="1:67" ht="15.7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  <c r="BH532" s="33"/>
      <c r="BI532" s="33"/>
      <c r="BJ532" s="33"/>
      <c r="BK532" s="33"/>
      <c r="BL532" s="33"/>
      <c r="BM532" s="33"/>
      <c r="BN532" s="33"/>
      <c r="BO532" s="33"/>
    </row>
    <row r="533" spans="1:67" ht="15.7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  <c r="BH533" s="33"/>
      <c r="BI533" s="33"/>
      <c r="BJ533" s="33"/>
      <c r="BK533" s="33"/>
      <c r="BL533" s="33"/>
      <c r="BM533" s="33"/>
      <c r="BN533" s="33"/>
      <c r="BO533" s="33"/>
    </row>
    <row r="534" spans="1:67" ht="15.7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  <c r="AO534" s="33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  <c r="BH534" s="33"/>
      <c r="BI534" s="33"/>
      <c r="BJ534" s="33"/>
      <c r="BK534" s="33"/>
      <c r="BL534" s="33"/>
      <c r="BM534" s="33"/>
      <c r="BN534" s="33"/>
      <c r="BO534" s="33"/>
    </row>
    <row r="535" spans="1:67" ht="15.7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  <c r="BH535" s="33"/>
      <c r="BI535" s="33"/>
      <c r="BJ535" s="33"/>
      <c r="BK535" s="33"/>
      <c r="BL535" s="33"/>
      <c r="BM535" s="33"/>
      <c r="BN535" s="33"/>
      <c r="BO535" s="33"/>
    </row>
    <row r="536" spans="1:67" ht="15.7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  <c r="BH536" s="33"/>
      <c r="BI536" s="33"/>
      <c r="BJ536" s="33"/>
      <c r="BK536" s="33"/>
      <c r="BL536" s="33"/>
      <c r="BM536" s="33"/>
      <c r="BN536" s="33"/>
      <c r="BO536" s="33"/>
    </row>
    <row r="537" spans="1:67" ht="15.7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  <c r="BH537" s="33"/>
      <c r="BI537" s="33"/>
      <c r="BJ537" s="33"/>
      <c r="BK537" s="33"/>
      <c r="BL537" s="33"/>
      <c r="BM537" s="33"/>
      <c r="BN537" s="33"/>
      <c r="BO537" s="33"/>
    </row>
    <row r="538" spans="1:67" ht="15.7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  <c r="BH538" s="33"/>
      <c r="BI538" s="33"/>
      <c r="BJ538" s="33"/>
      <c r="BK538" s="33"/>
      <c r="BL538" s="33"/>
      <c r="BM538" s="33"/>
      <c r="BN538" s="33"/>
      <c r="BO538" s="33"/>
    </row>
    <row r="539" spans="1:67" ht="15.7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  <c r="BH539" s="33"/>
      <c r="BI539" s="33"/>
      <c r="BJ539" s="33"/>
      <c r="BK539" s="33"/>
      <c r="BL539" s="33"/>
      <c r="BM539" s="33"/>
      <c r="BN539" s="33"/>
      <c r="BO539" s="33"/>
    </row>
    <row r="540" spans="1:67" ht="15.7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  <c r="BH540" s="33"/>
      <c r="BI540" s="33"/>
      <c r="BJ540" s="33"/>
      <c r="BK540" s="33"/>
      <c r="BL540" s="33"/>
      <c r="BM540" s="33"/>
      <c r="BN540" s="33"/>
      <c r="BO540" s="33"/>
    </row>
    <row r="541" spans="1:67" ht="15.7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  <c r="AO541" s="33"/>
      <c r="AP541" s="33"/>
      <c r="AQ541" s="33"/>
      <c r="AR541" s="33"/>
      <c r="AS541" s="33"/>
      <c r="AT541" s="33"/>
      <c r="AU541" s="33"/>
      <c r="AV541" s="33"/>
      <c r="AW541" s="33"/>
      <c r="AX541" s="33"/>
      <c r="AY541" s="33"/>
      <c r="AZ541" s="33"/>
      <c r="BA541" s="33"/>
      <c r="BB541" s="33"/>
      <c r="BC541" s="33"/>
      <c r="BD541" s="33"/>
      <c r="BE541" s="33"/>
      <c r="BF541" s="33"/>
      <c r="BG541" s="33"/>
      <c r="BH541" s="33"/>
      <c r="BI541" s="33"/>
      <c r="BJ541" s="33"/>
      <c r="BK541" s="33"/>
      <c r="BL541" s="33"/>
      <c r="BM541" s="33"/>
      <c r="BN541" s="33"/>
      <c r="BO541" s="33"/>
    </row>
    <row r="542" spans="1:67" ht="15.7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  <c r="AO542" s="33"/>
      <c r="AP542" s="33"/>
      <c r="AQ542" s="33"/>
      <c r="AR542" s="33"/>
      <c r="AS542" s="33"/>
      <c r="AT542" s="33"/>
      <c r="AU542" s="33"/>
      <c r="AV542" s="33"/>
      <c r="AW542" s="33"/>
      <c r="AX542" s="33"/>
      <c r="AY542" s="33"/>
      <c r="AZ542" s="33"/>
      <c r="BA542" s="33"/>
      <c r="BB542" s="33"/>
      <c r="BC542" s="33"/>
      <c r="BD542" s="33"/>
      <c r="BE542" s="33"/>
      <c r="BF542" s="33"/>
      <c r="BG542" s="33"/>
      <c r="BH542" s="33"/>
      <c r="BI542" s="33"/>
      <c r="BJ542" s="33"/>
      <c r="BK542" s="33"/>
      <c r="BL542" s="33"/>
      <c r="BM542" s="33"/>
      <c r="BN542" s="33"/>
      <c r="BO542" s="33"/>
    </row>
    <row r="543" spans="1:67" ht="15.7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  <c r="AO543" s="33"/>
      <c r="AP543" s="33"/>
      <c r="AQ543" s="33"/>
      <c r="AR543" s="33"/>
      <c r="AS543" s="33"/>
      <c r="AT543" s="33"/>
      <c r="AU543" s="33"/>
      <c r="AV543" s="33"/>
      <c r="AW543" s="33"/>
      <c r="AX543" s="33"/>
      <c r="AY543" s="33"/>
      <c r="AZ543" s="33"/>
      <c r="BA543" s="33"/>
      <c r="BB543" s="33"/>
      <c r="BC543" s="33"/>
      <c r="BD543" s="33"/>
      <c r="BE543" s="33"/>
      <c r="BF543" s="33"/>
      <c r="BG543" s="33"/>
      <c r="BH543" s="33"/>
      <c r="BI543" s="33"/>
      <c r="BJ543" s="33"/>
      <c r="BK543" s="33"/>
      <c r="BL543" s="33"/>
      <c r="BM543" s="33"/>
      <c r="BN543" s="33"/>
      <c r="BO543" s="33"/>
    </row>
    <row r="544" spans="1:67" ht="15.7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</row>
    <row r="545" spans="1:67" ht="15.7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  <c r="AO545" s="33"/>
      <c r="AP545" s="33"/>
      <c r="AQ545" s="33"/>
      <c r="AR545" s="33"/>
      <c r="AS545" s="33"/>
      <c r="AT545" s="33"/>
      <c r="AU545" s="33"/>
      <c r="AV545" s="33"/>
      <c r="AW545" s="33"/>
      <c r="AX545" s="33"/>
      <c r="AY545" s="33"/>
      <c r="AZ545" s="33"/>
      <c r="BA545" s="33"/>
      <c r="BB545" s="33"/>
      <c r="BC545" s="33"/>
      <c r="BD545" s="33"/>
      <c r="BE545" s="33"/>
      <c r="BF545" s="33"/>
      <c r="BG545" s="33"/>
      <c r="BH545" s="33"/>
      <c r="BI545" s="33"/>
      <c r="BJ545" s="33"/>
      <c r="BK545" s="33"/>
      <c r="BL545" s="33"/>
      <c r="BM545" s="33"/>
      <c r="BN545" s="33"/>
      <c r="BO545" s="33"/>
    </row>
    <row r="546" spans="1:67" ht="15.7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  <c r="AO546" s="33"/>
      <c r="AP546" s="33"/>
      <c r="AQ546" s="33"/>
      <c r="AR546" s="33"/>
      <c r="AS546" s="33"/>
      <c r="AT546" s="33"/>
      <c r="AU546" s="33"/>
      <c r="AV546" s="33"/>
      <c r="AW546" s="33"/>
      <c r="AX546" s="33"/>
      <c r="AY546" s="33"/>
      <c r="AZ546" s="33"/>
      <c r="BA546" s="33"/>
      <c r="BB546" s="33"/>
      <c r="BC546" s="33"/>
      <c r="BD546" s="33"/>
      <c r="BE546" s="33"/>
      <c r="BF546" s="33"/>
      <c r="BG546" s="33"/>
      <c r="BH546" s="33"/>
      <c r="BI546" s="33"/>
      <c r="BJ546" s="33"/>
      <c r="BK546" s="33"/>
      <c r="BL546" s="33"/>
      <c r="BM546" s="33"/>
      <c r="BN546" s="33"/>
      <c r="BO546" s="33"/>
    </row>
    <row r="547" spans="1:67" ht="15.7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  <c r="AO547" s="33"/>
      <c r="AP547" s="33"/>
      <c r="AQ547" s="33"/>
      <c r="AR547" s="33"/>
      <c r="AS547" s="33"/>
      <c r="AT547" s="33"/>
      <c r="AU547" s="33"/>
      <c r="AV547" s="33"/>
      <c r="AW547" s="33"/>
      <c r="AX547" s="33"/>
      <c r="AY547" s="33"/>
      <c r="AZ547" s="33"/>
      <c r="BA547" s="33"/>
      <c r="BB547" s="33"/>
      <c r="BC547" s="33"/>
      <c r="BD547" s="33"/>
      <c r="BE547" s="33"/>
      <c r="BF547" s="33"/>
      <c r="BG547" s="33"/>
      <c r="BH547" s="33"/>
      <c r="BI547" s="33"/>
      <c r="BJ547" s="33"/>
      <c r="BK547" s="33"/>
      <c r="BL547" s="33"/>
      <c r="BM547" s="33"/>
      <c r="BN547" s="33"/>
      <c r="BO547" s="33"/>
    </row>
    <row r="548" spans="1:67" ht="15.7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  <c r="AO548" s="33"/>
      <c r="AP548" s="33"/>
      <c r="AQ548" s="33"/>
      <c r="AR548" s="33"/>
      <c r="AS548" s="33"/>
      <c r="AT548" s="33"/>
      <c r="AU548" s="33"/>
      <c r="AV548" s="33"/>
      <c r="AW548" s="33"/>
      <c r="AX548" s="33"/>
      <c r="AY548" s="33"/>
      <c r="AZ548" s="33"/>
      <c r="BA548" s="33"/>
      <c r="BB548" s="33"/>
      <c r="BC548" s="33"/>
      <c r="BD548" s="33"/>
      <c r="BE548" s="33"/>
      <c r="BF548" s="33"/>
      <c r="BG548" s="33"/>
      <c r="BH548" s="33"/>
      <c r="BI548" s="33"/>
      <c r="BJ548" s="33"/>
      <c r="BK548" s="33"/>
      <c r="BL548" s="33"/>
      <c r="BM548" s="33"/>
      <c r="BN548" s="33"/>
      <c r="BO548" s="33"/>
    </row>
    <row r="549" spans="1:67" ht="15.7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  <c r="AO549" s="33"/>
      <c r="AP549" s="33"/>
      <c r="AQ549" s="33"/>
      <c r="AR549" s="33"/>
      <c r="AS549" s="33"/>
      <c r="AT549" s="33"/>
      <c r="AU549" s="33"/>
      <c r="AV549" s="33"/>
      <c r="AW549" s="33"/>
      <c r="AX549" s="33"/>
      <c r="AY549" s="33"/>
      <c r="AZ549" s="33"/>
      <c r="BA549" s="33"/>
      <c r="BB549" s="33"/>
      <c r="BC549" s="33"/>
      <c r="BD549" s="33"/>
      <c r="BE549" s="33"/>
      <c r="BF549" s="33"/>
      <c r="BG549" s="33"/>
      <c r="BH549" s="33"/>
      <c r="BI549" s="33"/>
      <c r="BJ549" s="33"/>
      <c r="BK549" s="33"/>
      <c r="BL549" s="33"/>
      <c r="BM549" s="33"/>
      <c r="BN549" s="33"/>
      <c r="BO549" s="33"/>
    </row>
    <row r="550" spans="1:67" ht="15.7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  <c r="AO550" s="33"/>
      <c r="AP550" s="33"/>
      <c r="AQ550" s="33"/>
      <c r="AR550" s="33"/>
      <c r="AS550" s="33"/>
      <c r="AT550" s="33"/>
      <c r="AU550" s="33"/>
      <c r="AV550" s="33"/>
      <c r="AW550" s="33"/>
      <c r="AX550" s="33"/>
      <c r="AY550" s="33"/>
      <c r="AZ550" s="33"/>
      <c r="BA550" s="33"/>
      <c r="BB550" s="33"/>
      <c r="BC550" s="33"/>
      <c r="BD550" s="33"/>
      <c r="BE550" s="33"/>
      <c r="BF550" s="33"/>
      <c r="BG550" s="33"/>
      <c r="BH550" s="33"/>
      <c r="BI550" s="33"/>
      <c r="BJ550" s="33"/>
      <c r="BK550" s="33"/>
      <c r="BL550" s="33"/>
      <c r="BM550" s="33"/>
      <c r="BN550" s="33"/>
      <c r="BO550" s="33"/>
    </row>
    <row r="551" spans="1:67" ht="15.7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  <c r="AO551" s="33"/>
      <c r="AP551" s="33"/>
      <c r="AQ551" s="33"/>
      <c r="AR551" s="33"/>
      <c r="AS551" s="33"/>
      <c r="AT551" s="33"/>
      <c r="AU551" s="33"/>
      <c r="AV551" s="33"/>
      <c r="AW551" s="33"/>
      <c r="AX551" s="33"/>
      <c r="AY551" s="33"/>
      <c r="AZ551" s="33"/>
      <c r="BA551" s="33"/>
      <c r="BB551" s="33"/>
      <c r="BC551" s="33"/>
      <c r="BD551" s="33"/>
      <c r="BE551" s="33"/>
      <c r="BF551" s="33"/>
      <c r="BG551" s="33"/>
      <c r="BH551" s="33"/>
      <c r="BI551" s="33"/>
      <c r="BJ551" s="33"/>
      <c r="BK551" s="33"/>
      <c r="BL551" s="33"/>
      <c r="BM551" s="33"/>
      <c r="BN551" s="33"/>
      <c r="BO551" s="33"/>
    </row>
    <row r="552" spans="1:67" ht="15.7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  <c r="AO552" s="33"/>
      <c r="AP552" s="33"/>
      <c r="AQ552" s="33"/>
      <c r="AR552" s="33"/>
      <c r="AS552" s="33"/>
      <c r="AT552" s="33"/>
      <c r="AU552" s="33"/>
      <c r="AV552" s="33"/>
      <c r="AW552" s="33"/>
      <c r="AX552" s="33"/>
      <c r="AY552" s="33"/>
      <c r="AZ552" s="33"/>
      <c r="BA552" s="33"/>
      <c r="BB552" s="33"/>
      <c r="BC552" s="33"/>
      <c r="BD552" s="33"/>
      <c r="BE552" s="33"/>
      <c r="BF552" s="33"/>
      <c r="BG552" s="33"/>
      <c r="BH552" s="33"/>
      <c r="BI552" s="33"/>
      <c r="BJ552" s="33"/>
      <c r="BK552" s="33"/>
      <c r="BL552" s="33"/>
      <c r="BM552" s="33"/>
      <c r="BN552" s="33"/>
      <c r="BO552" s="33"/>
    </row>
    <row r="553" spans="1:67" ht="15.7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  <c r="AO553" s="33"/>
      <c r="AP553" s="33"/>
      <c r="AQ553" s="33"/>
      <c r="AR553" s="33"/>
      <c r="AS553" s="33"/>
      <c r="AT553" s="33"/>
      <c r="AU553" s="33"/>
      <c r="AV553" s="33"/>
      <c r="AW553" s="33"/>
      <c r="AX553" s="33"/>
      <c r="AY553" s="33"/>
      <c r="AZ553" s="33"/>
      <c r="BA553" s="33"/>
      <c r="BB553" s="33"/>
      <c r="BC553" s="33"/>
      <c r="BD553" s="33"/>
      <c r="BE553" s="33"/>
      <c r="BF553" s="33"/>
      <c r="BG553" s="33"/>
      <c r="BH553" s="33"/>
      <c r="BI553" s="33"/>
      <c r="BJ553" s="33"/>
      <c r="BK553" s="33"/>
      <c r="BL553" s="33"/>
      <c r="BM553" s="33"/>
      <c r="BN553" s="33"/>
      <c r="BO553" s="33"/>
    </row>
    <row r="554" spans="1:67" ht="15.7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  <c r="AO554" s="33"/>
      <c r="AP554" s="33"/>
      <c r="AQ554" s="33"/>
      <c r="AR554" s="33"/>
      <c r="AS554" s="33"/>
      <c r="AT554" s="33"/>
      <c r="AU554" s="33"/>
      <c r="AV554" s="33"/>
      <c r="AW554" s="33"/>
      <c r="AX554" s="33"/>
      <c r="AY554" s="33"/>
      <c r="AZ554" s="33"/>
      <c r="BA554" s="33"/>
      <c r="BB554" s="33"/>
      <c r="BC554" s="33"/>
      <c r="BD554" s="33"/>
      <c r="BE554" s="33"/>
      <c r="BF554" s="33"/>
      <c r="BG554" s="33"/>
      <c r="BH554" s="33"/>
      <c r="BI554" s="33"/>
      <c r="BJ554" s="33"/>
      <c r="BK554" s="33"/>
      <c r="BL554" s="33"/>
      <c r="BM554" s="33"/>
      <c r="BN554" s="33"/>
      <c r="BO554" s="33"/>
    </row>
    <row r="555" spans="1:67" ht="15.7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  <c r="AO555" s="33"/>
      <c r="AP555" s="33"/>
      <c r="AQ555" s="33"/>
      <c r="AR555" s="33"/>
      <c r="AS555" s="33"/>
      <c r="AT555" s="33"/>
      <c r="AU555" s="33"/>
      <c r="AV555" s="33"/>
      <c r="AW555" s="33"/>
      <c r="AX555" s="33"/>
      <c r="AY555" s="33"/>
      <c r="AZ555" s="33"/>
      <c r="BA555" s="33"/>
      <c r="BB555" s="33"/>
      <c r="BC555" s="33"/>
      <c r="BD555" s="33"/>
      <c r="BE555" s="33"/>
      <c r="BF555" s="33"/>
      <c r="BG555" s="33"/>
      <c r="BH555" s="33"/>
      <c r="BI555" s="33"/>
      <c r="BJ555" s="33"/>
      <c r="BK555" s="33"/>
      <c r="BL555" s="33"/>
      <c r="BM555" s="33"/>
      <c r="BN555" s="33"/>
      <c r="BO555" s="33"/>
    </row>
    <row r="556" spans="1:67" ht="15.7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  <c r="AO556" s="33"/>
      <c r="AP556" s="33"/>
      <c r="AQ556" s="33"/>
      <c r="AR556" s="33"/>
      <c r="AS556" s="33"/>
      <c r="AT556" s="33"/>
      <c r="AU556" s="33"/>
      <c r="AV556" s="33"/>
      <c r="AW556" s="33"/>
      <c r="AX556" s="33"/>
      <c r="AY556" s="33"/>
      <c r="AZ556" s="33"/>
      <c r="BA556" s="33"/>
      <c r="BB556" s="33"/>
      <c r="BC556" s="33"/>
      <c r="BD556" s="33"/>
      <c r="BE556" s="33"/>
      <c r="BF556" s="33"/>
      <c r="BG556" s="33"/>
      <c r="BH556" s="33"/>
      <c r="BI556" s="33"/>
      <c r="BJ556" s="33"/>
      <c r="BK556" s="33"/>
      <c r="BL556" s="33"/>
      <c r="BM556" s="33"/>
      <c r="BN556" s="33"/>
      <c r="BO556" s="33"/>
    </row>
    <row r="557" spans="1:67" ht="15.7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  <c r="AO557" s="33"/>
      <c r="AP557" s="33"/>
      <c r="AQ557" s="33"/>
      <c r="AR557" s="33"/>
      <c r="AS557" s="33"/>
      <c r="AT557" s="33"/>
      <c r="AU557" s="33"/>
      <c r="AV557" s="33"/>
      <c r="AW557" s="33"/>
      <c r="AX557" s="33"/>
      <c r="AY557" s="33"/>
      <c r="AZ557" s="33"/>
      <c r="BA557" s="33"/>
      <c r="BB557" s="33"/>
      <c r="BC557" s="33"/>
      <c r="BD557" s="33"/>
      <c r="BE557" s="33"/>
      <c r="BF557" s="33"/>
      <c r="BG557" s="33"/>
      <c r="BH557" s="33"/>
      <c r="BI557" s="33"/>
      <c r="BJ557" s="33"/>
      <c r="BK557" s="33"/>
      <c r="BL557" s="33"/>
      <c r="BM557" s="33"/>
      <c r="BN557" s="33"/>
      <c r="BO557" s="33"/>
    </row>
    <row r="558" spans="1:67" ht="15.7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  <c r="AO558" s="33"/>
      <c r="AP558" s="33"/>
      <c r="AQ558" s="33"/>
      <c r="AR558" s="33"/>
      <c r="AS558" s="33"/>
      <c r="AT558" s="33"/>
      <c r="AU558" s="33"/>
      <c r="AV558" s="33"/>
      <c r="AW558" s="33"/>
      <c r="AX558" s="33"/>
      <c r="AY558" s="33"/>
      <c r="AZ558" s="33"/>
      <c r="BA558" s="33"/>
      <c r="BB558" s="33"/>
      <c r="BC558" s="33"/>
      <c r="BD558" s="33"/>
      <c r="BE558" s="33"/>
      <c r="BF558" s="33"/>
      <c r="BG558" s="33"/>
      <c r="BH558" s="33"/>
      <c r="BI558" s="33"/>
      <c r="BJ558" s="33"/>
      <c r="BK558" s="33"/>
      <c r="BL558" s="33"/>
      <c r="BM558" s="33"/>
      <c r="BN558" s="33"/>
      <c r="BO558" s="33"/>
    </row>
    <row r="559" spans="1:67" ht="15.7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  <c r="AO559" s="33"/>
      <c r="AP559" s="33"/>
      <c r="AQ559" s="33"/>
      <c r="AR559" s="33"/>
      <c r="AS559" s="33"/>
      <c r="AT559" s="33"/>
      <c r="AU559" s="33"/>
      <c r="AV559" s="33"/>
      <c r="AW559" s="33"/>
      <c r="AX559" s="33"/>
      <c r="AY559" s="33"/>
      <c r="AZ559" s="33"/>
      <c r="BA559" s="33"/>
      <c r="BB559" s="33"/>
      <c r="BC559" s="33"/>
      <c r="BD559" s="33"/>
      <c r="BE559" s="33"/>
      <c r="BF559" s="33"/>
      <c r="BG559" s="33"/>
      <c r="BH559" s="33"/>
      <c r="BI559" s="33"/>
      <c r="BJ559" s="33"/>
      <c r="BK559" s="33"/>
      <c r="BL559" s="33"/>
      <c r="BM559" s="33"/>
      <c r="BN559" s="33"/>
      <c r="BO559" s="33"/>
    </row>
    <row r="560" spans="1:67" ht="15.7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  <c r="AO560" s="33"/>
      <c r="AP560" s="33"/>
      <c r="AQ560" s="33"/>
      <c r="AR560" s="33"/>
      <c r="AS560" s="33"/>
      <c r="AT560" s="33"/>
      <c r="AU560" s="33"/>
      <c r="AV560" s="33"/>
      <c r="AW560" s="33"/>
      <c r="AX560" s="33"/>
      <c r="AY560" s="33"/>
      <c r="AZ560" s="33"/>
      <c r="BA560" s="33"/>
      <c r="BB560" s="33"/>
      <c r="BC560" s="33"/>
      <c r="BD560" s="33"/>
      <c r="BE560" s="33"/>
      <c r="BF560" s="33"/>
      <c r="BG560" s="33"/>
      <c r="BH560" s="33"/>
      <c r="BI560" s="33"/>
      <c r="BJ560" s="33"/>
      <c r="BK560" s="33"/>
      <c r="BL560" s="33"/>
      <c r="BM560" s="33"/>
      <c r="BN560" s="33"/>
      <c r="BO560" s="33"/>
    </row>
    <row r="561" spans="1:67" ht="15.7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  <c r="AO561" s="33"/>
      <c r="AP561" s="33"/>
      <c r="AQ561" s="33"/>
      <c r="AR561" s="33"/>
      <c r="AS561" s="33"/>
      <c r="AT561" s="33"/>
      <c r="AU561" s="33"/>
      <c r="AV561" s="33"/>
      <c r="AW561" s="33"/>
      <c r="AX561" s="33"/>
      <c r="AY561" s="33"/>
      <c r="AZ561" s="33"/>
      <c r="BA561" s="33"/>
      <c r="BB561" s="33"/>
      <c r="BC561" s="33"/>
      <c r="BD561" s="33"/>
      <c r="BE561" s="33"/>
      <c r="BF561" s="33"/>
      <c r="BG561" s="33"/>
      <c r="BH561" s="33"/>
      <c r="BI561" s="33"/>
      <c r="BJ561" s="33"/>
      <c r="BK561" s="33"/>
      <c r="BL561" s="33"/>
      <c r="BM561" s="33"/>
      <c r="BN561" s="33"/>
      <c r="BO561" s="33"/>
    </row>
    <row r="562" spans="1:67" ht="15.7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  <c r="BH562" s="33"/>
      <c r="BI562" s="33"/>
      <c r="BJ562" s="33"/>
      <c r="BK562" s="33"/>
      <c r="BL562" s="33"/>
      <c r="BM562" s="33"/>
      <c r="BN562" s="33"/>
      <c r="BO562" s="33"/>
    </row>
    <row r="563" spans="1:67" ht="15.7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  <c r="AO563" s="33"/>
      <c r="AP563" s="33"/>
      <c r="AQ563" s="33"/>
      <c r="AR563" s="33"/>
      <c r="AS563" s="33"/>
      <c r="AT563" s="33"/>
      <c r="AU563" s="33"/>
      <c r="AV563" s="33"/>
      <c r="AW563" s="33"/>
      <c r="AX563" s="33"/>
      <c r="AY563" s="33"/>
      <c r="AZ563" s="33"/>
      <c r="BA563" s="33"/>
      <c r="BB563" s="33"/>
      <c r="BC563" s="33"/>
      <c r="BD563" s="33"/>
      <c r="BE563" s="33"/>
      <c r="BF563" s="33"/>
      <c r="BG563" s="33"/>
      <c r="BH563" s="33"/>
      <c r="BI563" s="33"/>
      <c r="BJ563" s="33"/>
      <c r="BK563" s="33"/>
      <c r="BL563" s="33"/>
      <c r="BM563" s="33"/>
      <c r="BN563" s="33"/>
      <c r="BO563" s="33"/>
    </row>
    <row r="564" spans="1:67" ht="15.7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  <c r="AO564" s="33"/>
      <c r="AP564" s="33"/>
      <c r="AQ564" s="33"/>
      <c r="AR564" s="33"/>
      <c r="AS564" s="33"/>
      <c r="AT564" s="33"/>
      <c r="AU564" s="33"/>
      <c r="AV564" s="33"/>
      <c r="AW564" s="33"/>
      <c r="AX564" s="33"/>
      <c r="AY564" s="33"/>
      <c r="AZ564" s="33"/>
      <c r="BA564" s="33"/>
      <c r="BB564" s="33"/>
      <c r="BC564" s="33"/>
      <c r="BD564" s="33"/>
      <c r="BE564" s="33"/>
      <c r="BF564" s="33"/>
      <c r="BG564" s="33"/>
      <c r="BH564" s="33"/>
      <c r="BI564" s="33"/>
      <c r="BJ564" s="33"/>
      <c r="BK564" s="33"/>
      <c r="BL564" s="33"/>
      <c r="BM564" s="33"/>
      <c r="BN564" s="33"/>
      <c r="BO564" s="33"/>
    </row>
    <row r="565" spans="1:67" ht="15.7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</row>
    <row r="566" spans="1:67" ht="15.7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  <c r="AO566" s="33"/>
      <c r="AP566" s="33"/>
      <c r="AQ566" s="33"/>
      <c r="AR566" s="33"/>
      <c r="AS566" s="33"/>
      <c r="AT566" s="33"/>
      <c r="AU566" s="33"/>
      <c r="AV566" s="33"/>
      <c r="AW566" s="33"/>
      <c r="AX566" s="33"/>
      <c r="AY566" s="33"/>
      <c r="AZ566" s="33"/>
      <c r="BA566" s="33"/>
      <c r="BB566" s="33"/>
      <c r="BC566" s="33"/>
      <c r="BD566" s="33"/>
      <c r="BE566" s="33"/>
      <c r="BF566" s="33"/>
      <c r="BG566" s="33"/>
      <c r="BH566" s="33"/>
      <c r="BI566" s="33"/>
      <c r="BJ566" s="33"/>
      <c r="BK566" s="33"/>
      <c r="BL566" s="33"/>
      <c r="BM566" s="33"/>
      <c r="BN566" s="33"/>
      <c r="BO566" s="33"/>
    </row>
    <row r="567" spans="1:67" ht="15.7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  <c r="AO567" s="33"/>
      <c r="AP567" s="33"/>
      <c r="AQ567" s="33"/>
      <c r="AR567" s="33"/>
      <c r="AS567" s="33"/>
      <c r="AT567" s="33"/>
      <c r="AU567" s="33"/>
      <c r="AV567" s="33"/>
      <c r="AW567" s="33"/>
      <c r="AX567" s="33"/>
      <c r="AY567" s="33"/>
      <c r="AZ567" s="33"/>
      <c r="BA567" s="33"/>
      <c r="BB567" s="33"/>
      <c r="BC567" s="33"/>
      <c r="BD567" s="33"/>
      <c r="BE567" s="33"/>
      <c r="BF567" s="33"/>
      <c r="BG567" s="33"/>
      <c r="BH567" s="33"/>
      <c r="BI567" s="33"/>
      <c r="BJ567" s="33"/>
      <c r="BK567" s="33"/>
      <c r="BL567" s="33"/>
      <c r="BM567" s="33"/>
      <c r="BN567" s="33"/>
      <c r="BO567" s="33"/>
    </row>
    <row r="568" spans="1:67" ht="15.7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</row>
    <row r="569" spans="1:67" ht="15.7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  <c r="AO569" s="33"/>
      <c r="AP569" s="33"/>
      <c r="AQ569" s="33"/>
      <c r="AR569" s="33"/>
      <c r="AS569" s="33"/>
      <c r="AT569" s="33"/>
      <c r="AU569" s="33"/>
      <c r="AV569" s="33"/>
      <c r="AW569" s="33"/>
      <c r="AX569" s="33"/>
      <c r="AY569" s="33"/>
      <c r="AZ569" s="33"/>
      <c r="BA569" s="33"/>
      <c r="BB569" s="33"/>
      <c r="BC569" s="33"/>
      <c r="BD569" s="33"/>
      <c r="BE569" s="33"/>
      <c r="BF569" s="33"/>
      <c r="BG569" s="33"/>
      <c r="BH569" s="33"/>
      <c r="BI569" s="33"/>
      <c r="BJ569" s="33"/>
      <c r="BK569" s="33"/>
      <c r="BL569" s="33"/>
      <c r="BM569" s="33"/>
      <c r="BN569" s="33"/>
      <c r="BO569" s="33"/>
    </row>
    <row r="570" spans="1:67" ht="15.7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  <c r="AO570" s="33"/>
      <c r="AP570" s="33"/>
      <c r="AQ570" s="33"/>
      <c r="AR570" s="33"/>
      <c r="AS570" s="33"/>
      <c r="AT570" s="33"/>
      <c r="AU570" s="33"/>
      <c r="AV570" s="33"/>
      <c r="AW570" s="33"/>
      <c r="AX570" s="33"/>
      <c r="AY570" s="33"/>
      <c r="AZ570" s="33"/>
      <c r="BA570" s="33"/>
      <c r="BB570" s="33"/>
      <c r="BC570" s="33"/>
      <c r="BD570" s="33"/>
      <c r="BE570" s="33"/>
      <c r="BF570" s="33"/>
      <c r="BG570" s="33"/>
      <c r="BH570" s="33"/>
      <c r="BI570" s="33"/>
      <c r="BJ570" s="33"/>
      <c r="BK570" s="33"/>
      <c r="BL570" s="33"/>
      <c r="BM570" s="33"/>
      <c r="BN570" s="33"/>
      <c r="BO570" s="33"/>
    </row>
    <row r="571" spans="1:67" ht="15.7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  <c r="AO571" s="33"/>
      <c r="AP571" s="33"/>
      <c r="AQ571" s="33"/>
      <c r="AR571" s="33"/>
      <c r="AS571" s="33"/>
      <c r="AT571" s="33"/>
      <c r="AU571" s="33"/>
      <c r="AV571" s="33"/>
      <c r="AW571" s="33"/>
      <c r="AX571" s="33"/>
      <c r="AY571" s="33"/>
      <c r="AZ571" s="33"/>
      <c r="BA571" s="33"/>
      <c r="BB571" s="33"/>
      <c r="BC571" s="33"/>
      <c r="BD571" s="33"/>
      <c r="BE571" s="33"/>
      <c r="BF571" s="33"/>
      <c r="BG571" s="33"/>
      <c r="BH571" s="33"/>
      <c r="BI571" s="33"/>
      <c r="BJ571" s="33"/>
      <c r="BK571" s="33"/>
      <c r="BL571" s="33"/>
      <c r="BM571" s="33"/>
      <c r="BN571" s="33"/>
      <c r="BO571" s="33"/>
    </row>
    <row r="572" spans="1:67" ht="15.7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  <c r="AO572" s="33"/>
      <c r="AP572" s="33"/>
      <c r="AQ572" s="33"/>
      <c r="AR572" s="33"/>
      <c r="AS572" s="33"/>
      <c r="AT572" s="33"/>
      <c r="AU572" s="33"/>
      <c r="AV572" s="33"/>
      <c r="AW572" s="33"/>
      <c r="AX572" s="33"/>
      <c r="AY572" s="33"/>
      <c r="AZ572" s="33"/>
      <c r="BA572" s="33"/>
      <c r="BB572" s="33"/>
      <c r="BC572" s="33"/>
      <c r="BD572" s="33"/>
      <c r="BE572" s="33"/>
      <c r="BF572" s="33"/>
      <c r="BG572" s="33"/>
      <c r="BH572" s="33"/>
      <c r="BI572" s="33"/>
      <c r="BJ572" s="33"/>
      <c r="BK572" s="33"/>
      <c r="BL572" s="33"/>
      <c r="BM572" s="33"/>
      <c r="BN572" s="33"/>
      <c r="BO572" s="33"/>
    </row>
    <row r="573" spans="1:67" ht="15.7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  <c r="AO573" s="33"/>
      <c r="AP573" s="33"/>
      <c r="AQ573" s="33"/>
      <c r="AR573" s="33"/>
      <c r="AS573" s="33"/>
      <c r="AT573" s="33"/>
      <c r="AU573" s="33"/>
      <c r="AV573" s="33"/>
      <c r="AW573" s="33"/>
      <c r="AX573" s="33"/>
      <c r="AY573" s="33"/>
      <c r="AZ573" s="33"/>
      <c r="BA573" s="33"/>
      <c r="BB573" s="33"/>
      <c r="BC573" s="33"/>
      <c r="BD573" s="33"/>
      <c r="BE573" s="33"/>
      <c r="BF573" s="33"/>
      <c r="BG573" s="33"/>
      <c r="BH573" s="33"/>
      <c r="BI573" s="33"/>
      <c r="BJ573" s="33"/>
      <c r="BK573" s="33"/>
      <c r="BL573" s="33"/>
      <c r="BM573" s="33"/>
      <c r="BN573" s="33"/>
      <c r="BO573" s="33"/>
    </row>
    <row r="574" spans="1:67" ht="15.7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  <c r="AO574" s="33"/>
      <c r="AP574" s="33"/>
      <c r="AQ574" s="33"/>
      <c r="AR574" s="33"/>
      <c r="AS574" s="33"/>
      <c r="AT574" s="33"/>
      <c r="AU574" s="33"/>
      <c r="AV574" s="33"/>
      <c r="AW574" s="33"/>
      <c r="AX574" s="33"/>
      <c r="AY574" s="33"/>
      <c r="AZ574" s="33"/>
      <c r="BA574" s="33"/>
      <c r="BB574" s="33"/>
      <c r="BC574" s="33"/>
      <c r="BD574" s="33"/>
      <c r="BE574" s="33"/>
      <c r="BF574" s="33"/>
      <c r="BG574" s="33"/>
      <c r="BH574" s="33"/>
      <c r="BI574" s="33"/>
      <c r="BJ574" s="33"/>
      <c r="BK574" s="33"/>
      <c r="BL574" s="33"/>
      <c r="BM574" s="33"/>
      <c r="BN574" s="33"/>
      <c r="BO574" s="33"/>
    </row>
    <row r="575" spans="1:67" ht="15.7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  <c r="AO575" s="33"/>
      <c r="AP575" s="33"/>
      <c r="AQ575" s="33"/>
      <c r="AR575" s="33"/>
      <c r="AS575" s="33"/>
      <c r="AT575" s="33"/>
      <c r="AU575" s="33"/>
      <c r="AV575" s="33"/>
      <c r="AW575" s="33"/>
      <c r="AX575" s="33"/>
      <c r="AY575" s="33"/>
      <c r="AZ575" s="33"/>
      <c r="BA575" s="33"/>
      <c r="BB575" s="33"/>
      <c r="BC575" s="33"/>
      <c r="BD575" s="33"/>
      <c r="BE575" s="33"/>
      <c r="BF575" s="33"/>
      <c r="BG575" s="33"/>
      <c r="BH575" s="33"/>
      <c r="BI575" s="33"/>
      <c r="BJ575" s="33"/>
      <c r="BK575" s="33"/>
      <c r="BL575" s="33"/>
      <c r="BM575" s="33"/>
      <c r="BN575" s="33"/>
      <c r="BO575" s="33"/>
    </row>
    <row r="576" spans="1:67" ht="15.7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  <c r="AO576" s="33"/>
      <c r="AP576" s="33"/>
      <c r="AQ576" s="33"/>
      <c r="AR576" s="33"/>
      <c r="AS576" s="33"/>
      <c r="AT576" s="33"/>
      <c r="AU576" s="33"/>
      <c r="AV576" s="33"/>
      <c r="AW576" s="33"/>
      <c r="AX576" s="33"/>
      <c r="AY576" s="33"/>
      <c r="AZ576" s="33"/>
      <c r="BA576" s="33"/>
      <c r="BB576" s="33"/>
      <c r="BC576" s="33"/>
      <c r="BD576" s="33"/>
      <c r="BE576" s="33"/>
      <c r="BF576" s="33"/>
      <c r="BG576" s="33"/>
      <c r="BH576" s="33"/>
      <c r="BI576" s="33"/>
      <c r="BJ576" s="33"/>
      <c r="BK576" s="33"/>
      <c r="BL576" s="33"/>
      <c r="BM576" s="33"/>
      <c r="BN576" s="33"/>
      <c r="BO576" s="33"/>
    </row>
    <row r="577" spans="1:67" ht="15.7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  <c r="AO577" s="33"/>
      <c r="AP577" s="33"/>
      <c r="AQ577" s="33"/>
      <c r="AR577" s="33"/>
      <c r="AS577" s="33"/>
      <c r="AT577" s="33"/>
      <c r="AU577" s="33"/>
      <c r="AV577" s="33"/>
      <c r="AW577" s="33"/>
      <c r="AX577" s="33"/>
      <c r="AY577" s="33"/>
      <c r="AZ577" s="33"/>
      <c r="BA577" s="33"/>
      <c r="BB577" s="33"/>
      <c r="BC577" s="33"/>
      <c r="BD577" s="33"/>
      <c r="BE577" s="33"/>
      <c r="BF577" s="33"/>
      <c r="BG577" s="33"/>
      <c r="BH577" s="33"/>
      <c r="BI577" s="33"/>
      <c r="BJ577" s="33"/>
      <c r="BK577" s="33"/>
      <c r="BL577" s="33"/>
      <c r="BM577" s="33"/>
      <c r="BN577" s="33"/>
      <c r="BO577" s="33"/>
    </row>
    <row r="578" spans="1:67" ht="15.7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  <c r="AO578" s="33"/>
      <c r="AP578" s="33"/>
      <c r="AQ578" s="33"/>
      <c r="AR578" s="33"/>
      <c r="AS578" s="33"/>
      <c r="AT578" s="33"/>
      <c r="AU578" s="33"/>
      <c r="AV578" s="33"/>
      <c r="AW578" s="33"/>
      <c r="AX578" s="33"/>
      <c r="AY578" s="33"/>
      <c r="AZ578" s="33"/>
      <c r="BA578" s="33"/>
      <c r="BB578" s="33"/>
      <c r="BC578" s="33"/>
      <c r="BD578" s="33"/>
      <c r="BE578" s="33"/>
      <c r="BF578" s="33"/>
      <c r="BG578" s="33"/>
      <c r="BH578" s="33"/>
      <c r="BI578" s="33"/>
      <c r="BJ578" s="33"/>
      <c r="BK578" s="33"/>
      <c r="BL578" s="33"/>
      <c r="BM578" s="33"/>
      <c r="BN578" s="33"/>
      <c r="BO578" s="33"/>
    </row>
    <row r="579" spans="1:67" ht="15.7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  <c r="AO579" s="33"/>
      <c r="AP579" s="33"/>
      <c r="AQ579" s="33"/>
      <c r="AR579" s="33"/>
      <c r="AS579" s="33"/>
      <c r="AT579" s="33"/>
      <c r="AU579" s="33"/>
      <c r="AV579" s="33"/>
      <c r="AW579" s="33"/>
      <c r="AX579" s="33"/>
      <c r="AY579" s="33"/>
      <c r="AZ579" s="33"/>
      <c r="BA579" s="33"/>
      <c r="BB579" s="33"/>
      <c r="BC579" s="33"/>
      <c r="BD579" s="33"/>
      <c r="BE579" s="33"/>
      <c r="BF579" s="33"/>
      <c r="BG579" s="33"/>
      <c r="BH579" s="33"/>
      <c r="BI579" s="33"/>
      <c r="BJ579" s="33"/>
      <c r="BK579" s="33"/>
      <c r="BL579" s="33"/>
      <c r="BM579" s="33"/>
      <c r="BN579" s="33"/>
      <c r="BO579" s="33"/>
    </row>
    <row r="580" spans="1:67" ht="15.7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  <c r="AO580" s="33"/>
      <c r="AP580" s="33"/>
      <c r="AQ580" s="33"/>
      <c r="AR580" s="33"/>
      <c r="AS580" s="33"/>
      <c r="AT580" s="33"/>
      <c r="AU580" s="33"/>
      <c r="AV580" s="33"/>
      <c r="AW580" s="33"/>
      <c r="AX580" s="33"/>
      <c r="AY580" s="33"/>
      <c r="AZ580" s="33"/>
      <c r="BA580" s="33"/>
      <c r="BB580" s="33"/>
      <c r="BC580" s="33"/>
      <c r="BD580" s="33"/>
      <c r="BE580" s="33"/>
      <c r="BF580" s="33"/>
      <c r="BG580" s="33"/>
      <c r="BH580" s="33"/>
      <c r="BI580" s="33"/>
      <c r="BJ580" s="33"/>
      <c r="BK580" s="33"/>
      <c r="BL580" s="33"/>
      <c r="BM580" s="33"/>
      <c r="BN580" s="33"/>
      <c r="BO580" s="33"/>
    </row>
    <row r="581" spans="1:67" ht="15.7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  <c r="AO581" s="33"/>
      <c r="AP581" s="33"/>
      <c r="AQ581" s="33"/>
      <c r="AR581" s="33"/>
      <c r="AS581" s="33"/>
      <c r="AT581" s="33"/>
      <c r="AU581" s="33"/>
      <c r="AV581" s="33"/>
      <c r="AW581" s="33"/>
      <c r="AX581" s="33"/>
      <c r="AY581" s="33"/>
      <c r="AZ581" s="33"/>
      <c r="BA581" s="33"/>
      <c r="BB581" s="33"/>
      <c r="BC581" s="33"/>
      <c r="BD581" s="33"/>
      <c r="BE581" s="33"/>
      <c r="BF581" s="33"/>
      <c r="BG581" s="33"/>
      <c r="BH581" s="33"/>
      <c r="BI581" s="33"/>
      <c r="BJ581" s="33"/>
      <c r="BK581" s="33"/>
      <c r="BL581" s="33"/>
      <c r="BM581" s="33"/>
      <c r="BN581" s="33"/>
      <c r="BO581" s="33"/>
    </row>
    <row r="582" spans="1:67" ht="15.7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  <c r="AO582" s="33"/>
      <c r="AP582" s="33"/>
      <c r="AQ582" s="33"/>
      <c r="AR582" s="33"/>
      <c r="AS582" s="33"/>
      <c r="AT582" s="33"/>
      <c r="AU582" s="33"/>
      <c r="AV582" s="33"/>
      <c r="AW582" s="33"/>
      <c r="AX582" s="33"/>
      <c r="AY582" s="33"/>
      <c r="AZ582" s="33"/>
      <c r="BA582" s="33"/>
      <c r="BB582" s="33"/>
      <c r="BC582" s="33"/>
      <c r="BD582" s="33"/>
      <c r="BE582" s="33"/>
      <c r="BF582" s="33"/>
      <c r="BG582" s="33"/>
      <c r="BH582" s="33"/>
      <c r="BI582" s="33"/>
      <c r="BJ582" s="33"/>
      <c r="BK582" s="33"/>
      <c r="BL582" s="33"/>
      <c r="BM582" s="33"/>
      <c r="BN582" s="33"/>
      <c r="BO582" s="33"/>
    </row>
    <row r="583" spans="1:67" ht="15.7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  <c r="AO583" s="33"/>
      <c r="AP583" s="33"/>
      <c r="AQ583" s="33"/>
      <c r="AR583" s="33"/>
      <c r="AS583" s="33"/>
      <c r="AT583" s="33"/>
      <c r="AU583" s="33"/>
      <c r="AV583" s="33"/>
      <c r="AW583" s="33"/>
      <c r="AX583" s="33"/>
      <c r="AY583" s="33"/>
      <c r="AZ583" s="33"/>
      <c r="BA583" s="33"/>
      <c r="BB583" s="33"/>
      <c r="BC583" s="33"/>
      <c r="BD583" s="33"/>
      <c r="BE583" s="33"/>
      <c r="BF583" s="33"/>
      <c r="BG583" s="33"/>
      <c r="BH583" s="33"/>
      <c r="BI583" s="33"/>
      <c r="BJ583" s="33"/>
      <c r="BK583" s="33"/>
      <c r="BL583" s="33"/>
      <c r="BM583" s="33"/>
      <c r="BN583" s="33"/>
      <c r="BO583" s="33"/>
    </row>
    <row r="584" spans="1:67" ht="15.7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  <c r="AO584" s="33"/>
      <c r="AP584" s="33"/>
      <c r="AQ584" s="33"/>
      <c r="AR584" s="33"/>
      <c r="AS584" s="33"/>
      <c r="AT584" s="33"/>
      <c r="AU584" s="33"/>
      <c r="AV584" s="33"/>
      <c r="AW584" s="33"/>
      <c r="AX584" s="33"/>
      <c r="AY584" s="33"/>
      <c r="AZ584" s="33"/>
      <c r="BA584" s="33"/>
      <c r="BB584" s="33"/>
      <c r="BC584" s="33"/>
      <c r="BD584" s="33"/>
      <c r="BE584" s="33"/>
      <c r="BF584" s="33"/>
      <c r="BG584" s="33"/>
      <c r="BH584" s="33"/>
      <c r="BI584" s="33"/>
      <c r="BJ584" s="33"/>
      <c r="BK584" s="33"/>
      <c r="BL584" s="33"/>
      <c r="BM584" s="33"/>
      <c r="BN584" s="33"/>
      <c r="BO584" s="33"/>
    </row>
    <row r="585" spans="1:67" ht="15.7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  <c r="AO585" s="33"/>
      <c r="AP585" s="33"/>
      <c r="AQ585" s="33"/>
      <c r="AR585" s="33"/>
      <c r="AS585" s="33"/>
      <c r="AT585" s="33"/>
      <c r="AU585" s="33"/>
      <c r="AV585" s="33"/>
      <c r="AW585" s="33"/>
      <c r="AX585" s="33"/>
      <c r="AY585" s="33"/>
      <c r="AZ585" s="33"/>
      <c r="BA585" s="33"/>
      <c r="BB585" s="33"/>
      <c r="BC585" s="33"/>
      <c r="BD585" s="33"/>
      <c r="BE585" s="33"/>
      <c r="BF585" s="33"/>
      <c r="BG585" s="33"/>
      <c r="BH585" s="33"/>
      <c r="BI585" s="33"/>
      <c r="BJ585" s="33"/>
      <c r="BK585" s="33"/>
      <c r="BL585" s="33"/>
      <c r="BM585" s="33"/>
      <c r="BN585" s="33"/>
      <c r="BO585" s="33"/>
    </row>
    <row r="586" spans="1:67" ht="15.7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  <c r="AO586" s="33"/>
      <c r="AP586" s="33"/>
      <c r="AQ586" s="33"/>
      <c r="AR586" s="33"/>
      <c r="AS586" s="33"/>
      <c r="AT586" s="33"/>
      <c r="AU586" s="33"/>
      <c r="AV586" s="33"/>
      <c r="AW586" s="33"/>
      <c r="AX586" s="33"/>
      <c r="AY586" s="33"/>
      <c r="AZ586" s="33"/>
      <c r="BA586" s="33"/>
      <c r="BB586" s="33"/>
      <c r="BC586" s="33"/>
      <c r="BD586" s="33"/>
      <c r="BE586" s="33"/>
      <c r="BF586" s="33"/>
      <c r="BG586" s="33"/>
      <c r="BH586" s="33"/>
      <c r="BI586" s="33"/>
      <c r="BJ586" s="33"/>
      <c r="BK586" s="33"/>
      <c r="BL586" s="33"/>
      <c r="BM586" s="33"/>
      <c r="BN586" s="33"/>
      <c r="BO586" s="33"/>
    </row>
    <row r="587" spans="1:67" ht="15.7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  <c r="AO587" s="33"/>
      <c r="AP587" s="33"/>
      <c r="AQ587" s="33"/>
      <c r="AR587" s="33"/>
      <c r="AS587" s="33"/>
      <c r="AT587" s="33"/>
      <c r="AU587" s="33"/>
      <c r="AV587" s="33"/>
      <c r="AW587" s="33"/>
      <c r="AX587" s="33"/>
      <c r="AY587" s="33"/>
      <c r="AZ587" s="33"/>
      <c r="BA587" s="33"/>
      <c r="BB587" s="33"/>
      <c r="BC587" s="33"/>
      <c r="BD587" s="33"/>
      <c r="BE587" s="33"/>
      <c r="BF587" s="33"/>
      <c r="BG587" s="33"/>
      <c r="BH587" s="33"/>
      <c r="BI587" s="33"/>
      <c r="BJ587" s="33"/>
      <c r="BK587" s="33"/>
      <c r="BL587" s="33"/>
      <c r="BM587" s="33"/>
      <c r="BN587" s="33"/>
      <c r="BO587" s="33"/>
    </row>
    <row r="588" spans="1:67" ht="15.7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  <c r="AO588" s="33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33"/>
      <c r="BH588" s="33"/>
      <c r="BI588" s="33"/>
      <c r="BJ588" s="33"/>
      <c r="BK588" s="33"/>
      <c r="BL588" s="33"/>
      <c r="BM588" s="33"/>
      <c r="BN588" s="33"/>
      <c r="BO588" s="33"/>
    </row>
    <row r="589" spans="1:67" ht="15.7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  <c r="AO589" s="33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33"/>
      <c r="BH589" s="33"/>
      <c r="BI589" s="33"/>
      <c r="BJ589" s="33"/>
      <c r="BK589" s="33"/>
      <c r="BL589" s="33"/>
      <c r="BM589" s="33"/>
      <c r="BN589" s="33"/>
      <c r="BO589" s="33"/>
    </row>
    <row r="590" spans="1:67" ht="15.7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  <c r="AO590" s="33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33"/>
      <c r="BH590" s="33"/>
      <c r="BI590" s="33"/>
      <c r="BJ590" s="33"/>
      <c r="BK590" s="33"/>
      <c r="BL590" s="33"/>
      <c r="BM590" s="33"/>
      <c r="BN590" s="33"/>
      <c r="BO590" s="33"/>
    </row>
    <row r="591" spans="1:67" ht="15.7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  <c r="AO591" s="33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33"/>
      <c r="BH591" s="33"/>
      <c r="BI591" s="33"/>
      <c r="BJ591" s="33"/>
      <c r="BK591" s="33"/>
      <c r="BL591" s="33"/>
      <c r="BM591" s="33"/>
      <c r="BN591" s="33"/>
      <c r="BO591" s="33"/>
    </row>
    <row r="592" spans="1:67" ht="15.7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  <c r="AO592" s="33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33"/>
      <c r="BH592" s="33"/>
      <c r="BI592" s="33"/>
      <c r="BJ592" s="33"/>
      <c r="BK592" s="33"/>
      <c r="BL592" s="33"/>
      <c r="BM592" s="33"/>
      <c r="BN592" s="33"/>
      <c r="BO592" s="33"/>
    </row>
    <row r="593" spans="1:67" ht="15.7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  <c r="AO593" s="33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33"/>
      <c r="BH593" s="33"/>
      <c r="BI593" s="33"/>
      <c r="BJ593" s="33"/>
      <c r="BK593" s="33"/>
      <c r="BL593" s="33"/>
      <c r="BM593" s="33"/>
      <c r="BN593" s="33"/>
      <c r="BO593" s="33"/>
    </row>
    <row r="594" spans="1:67" ht="15.7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  <c r="AO594" s="33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33"/>
      <c r="BH594" s="33"/>
      <c r="BI594" s="33"/>
      <c r="BJ594" s="33"/>
      <c r="BK594" s="33"/>
      <c r="BL594" s="33"/>
      <c r="BM594" s="33"/>
      <c r="BN594" s="33"/>
      <c r="BO594" s="33"/>
    </row>
    <row r="595" spans="1:67" ht="15.7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  <c r="AO595" s="33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33"/>
      <c r="BH595" s="33"/>
      <c r="BI595" s="33"/>
      <c r="BJ595" s="33"/>
      <c r="BK595" s="33"/>
      <c r="BL595" s="33"/>
      <c r="BM595" s="33"/>
      <c r="BN595" s="33"/>
      <c r="BO595" s="33"/>
    </row>
    <row r="596" spans="1:67" ht="15.7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  <c r="AO596" s="33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33"/>
      <c r="BH596" s="33"/>
      <c r="BI596" s="33"/>
      <c r="BJ596" s="33"/>
      <c r="BK596" s="33"/>
      <c r="BL596" s="33"/>
      <c r="BM596" s="33"/>
      <c r="BN596" s="33"/>
      <c r="BO596" s="33"/>
    </row>
    <row r="597" spans="1:67" ht="15.7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  <c r="AO597" s="33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33"/>
      <c r="BH597" s="33"/>
      <c r="BI597" s="33"/>
      <c r="BJ597" s="33"/>
      <c r="BK597" s="33"/>
      <c r="BL597" s="33"/>
      <c r="BM597" s="33"/>
      <c r="BN597" s="33"/>
      <c r="BO597" s="33"/>
    </row>
    <row r="598" spans="1:67" ht="15.7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  <c r="AO598" s="33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33"/>
      <c r="BH598" s="33"/>
      <c r="BI598" s="33"/>
      <c r="BJ598" s="33"/>
      <c r="BK598" s="33"/>
      <c r="BL598" s="33"/>
      <c r="BM598" s="33"/>
      <c r="BN598" s="33"/>
      <c r="BO598" s="33"/>
    </row>
    <row r="599" spans="1:67" ht="15.7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  <c r="AO599" s="33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33"/>
      <c r="BH599" s="33"/>
      <c r="BI599" s="33"/>
      <c r="BJ599" s="33"/>
      <c r="BK599" s="33"/>
      <c r="BL599" s="33"/>
      <c r="BM599" s="33"/>
      <c r="BN599" s="33"/>
      <c r="BO599" s="33"/>
    </row>
    <row r="600" spans="1:67" ht="15.7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  <c r="AO600" s="33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33"/>
      <c r="BH600" s="33"/>
      <c r="BI600" s="33"/>
      <c r="BJ600" s="33"/>
      <c r="BK600" s="33"/>
      <c r="BL600" s="33"/>
      <c r="BM600" s="33"/>
      <c r="BN600" s="33"/>
      <c r="BO600" s="33"/>
    </row>
    <row r="601" spans="1:67" ht="15.7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  <c r="AO601" s="33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33"/>
      <c r="BH601" s="33"/>
      <c r="BI601" s="33"/>
      <c r="BJ601" s="33"/>
      <c r="BK601" s="33"/>
      <c r="BL601" s="33"/>
      <c r="BM601" s="33"/>
      <c r="BN601" s="33"/>
      <c r="BO601" s="33"/>
    </row>
    <row r="602" spans="1:67" ht="15.7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  <c r="AO602" s="33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33"/>
      <c r="BH602" s="33"/>
      <c r="BI602" s="33"/>
      <c r="BJ602" s="33"/>
      <c r="BK602" s="33"/>
      <c r="BL602" s="33"/>
      <c r="BM602" s="33"/>
      <c r="BN602" s="33"/>
      <c r="BO602" s="33"/>
    </row>
    <row r="603" spans="1:67" ht="15.7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  <c r="AO603" s="33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33"/>
      <c r="BH603" s="33"/>
      <c r="BI603" s="33"/>
      <c r="BJ603" s="33"/>
      <c r="BK603" s="33"/>
      <c r="BL603" s="33"/>
      <c r="BM603" s="33"/>
      <c r="BN603" s="33"/>
      <c r="BO603" s="33"/>
    </row>
    <row r="604" spans="1:67" ht="15.7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  <c r="AO604" s="33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33"/>
      <c r="BH604" s="33"/>
      <c r="BI604" s="33"/>
      <c r="BJ604" s="33"/>
      <c r="BK604" s="33"/>
      <c r="BL604" s="33"/>
      <c r="BM604" s="33"/>
      <c r="BN604" s="33"/>
      <c r="BO604" s="33"/>
    </row>
    <row r="605" spans="1:67" ht="15.7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  <c r="AO605" s="33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33"/>
      <c r="BH605" s="33"/>
      <c r="BI605" s="33"/>
      <c r="BJ605" s="33"/>
      <c r="BK605" s="33"/>
      <c r="BL605" s="33"/>
      <c r="BM605" s="33"/>
      <c r="BN605" s="33"/>
      <c r="BO605" s="33"/>
    </row>
    <row r="606" spans="1:67" ht="15.7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  <c r="AO606" s="33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33"/>
      <c r="BH606" s="33"/>
      <c r="BI606" s="33"/>
      <c r="BJ606" s="33"/>
      <c r="BK606" s="33"/>
      <c r="BL606" s="33"/>
      <c r="BM606" s="33"/>
      <c r="BN606" s="33"/>
      <c r="BO606" s="33"/>
    </row>
    <row r="607" spans="1:67" ht="15.7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  <c r="AO607" s="33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33"/>
      <c r="BH607" s="33"/>
      <c r="BI607" s="33"/>
      <c r="BJ607" s="33"/>
      <c r="BK607" s="33"/>
      <c r="BL607" s="33"/>
      <c r="BM607" s="33"/>
      <c r="BN607" s="33"/>
      <c r="BO607" s="33"/>
    </row>
    <row r="608" spans="1:67" ht="15.7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  <c r="AO608" s="33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33"/>
      <c r="BH608" s="33"/>
      <c r="BI608" s="33"/>
      <c r="BJ608" s="33"/>
      <c r="BK608" s="33"/>
      <c r="BL608" s="33"/>
      <c r="BM608" s="33"/>
      <c r="BN608" s="33"/>
      <c r="BO608" s="33"/>
    </row>
    <row r="609" spans="1:67" ht="15.7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  <c r="AO609" s="33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33"/>
      <c r="BH609" s="33"/>
      <c r="BI609" s="33"/>
      <c r="BJ609" s="33"/>
      <c r="BK609" s="33"/>
      <c r="BL609" s="33"/>
      <c r="BM609" s="33"/>
      <c r="BN609" s="33"/>
      <c r="BO609" s="33"/>
    </row>
    <row r="610" spans="1:67" ht="15.7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  <c r="AO610" s="33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33"/>
      <c r="BH610" s="33"/>
      <c r="BI610" s="33"/>
      <c r="BJ610" s="33"/>
      <c r="BK610" s="33"/>
      <c r="BL610" s="33"/>
      <c r="BM610" s="33"/>
      <c r="BN610" s="33"/>
      <c r="BO610" s="33"/>
    </row>
    <row r="611" spans="1:67" ht="15.7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  <c r="AO611" s="33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33"/>
      <c r="BH611" s="33"/>
      <c r="BI611" s="33"/>
      <c r="BJ611" s="33"/>
      <c r="BK611" s="33"/>
      <c r="BL611" s="33"/>
      <c r="BM611" s="33"/>
      <c r="BN611" s="33"/>
      <c r="BO611" s="33"/>
    </row>
    <row r="612" spans="1:67" ht="15.7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  <c r="AO612" s="33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33"/>
      <c r="BH612" s="33"/>
      <c r="BI612" s="33"/>
      <c r="BJ612" s="33"/>
      <c r="BK612" s="33"/>
      <c r="BL612" s="33"/>
      <c r="BM612" s="33"/>
      <c r="BN612" s="33"/>
      <c r="BO612" s="33"/>
    </row>
    <row r="613" spans="1:67" ht="15.7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  <c r="AO613" s="33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33"/>
      <c r="BH613" s="33"/>
      <c r="BI613" s="33"/>
      <c r="BJ613" s="33"/>
      <c r="BK613" s="33"/>
      <c r="BL613" s="33"/>
      <c r="BM613" s="33"/>
      <c r="BN613" s="33"/>
      <c r="BO613" s="33"/>
    </row>
    <row r="614" spans="1:67" ht="15.7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33"/>
      <c r="BH614" s="33"/>
      <c r="BI614" s="33"/>
      <c r="BJ614" s="33"/>
      <c r="BK614" s="33"/>
      <c r="BL614" s="33"/>
      <c r="BM614" s="33"/>
      <c r="BN614" s="33"/>
      <c r="BO614" s="33"/>
    </row>
    <row r="615" spans="1:67" ht="15.7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33"/>
      <c r="BH615" s="33"/>
      <c r="BI615" s="33"/>
      <c r="BJ615" s="33"/>
      <c r="BK615" s="33"/>
      <c r="BL615" s="33"/>
      <c r="BM615" s="33"/>
      <c r="BN615" s="33"/>
      <c r="BO615" s="33"/>
    </row>
    <row r="616" spans="1:67" ht="15.7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  <c r="AO616" s="33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33"/>
      <c r="BH616" s="33"/>
      <c r="BI616" s="33"/>
      <c r="BJ616" s="33"/>
      <c r="BK616" s="33"/>
      <c r="BL616" s="33"/>
      <c r="BM616" s="33"/>
      <c r="BN616" s="33"/>
      <c r="BO616" s="33"/>
    </row>
    <row r="617" spans="1:67" ht="15.7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  <c r="AO617" s="33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33"/>
      <c r="BH617" s="33"/>
      <c r="BI617" s="33"/>
      <c r="BJ617" s="33"/>
      <c r="BK617" s="33"/>
      <c r="BL617" s="33"/>
      <c r="BM617" s="33"/>
      <c r="BN617" s="33"/>
      <c r="BO617" s="33"/>
    </row>
    <row r="618" spans="1:67" ht="15.7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  <c r="AO618" s="33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33"/>
      <c r="BH618" s="33"/>
      <c r="BI618" s="33"/>
      <c r="BJ618" s="33"/>
      <c r="BK618" s="33"/>
      <c r="BL618" s="33"/>
      <c r="BM618" s="33"/>
      <c r="BN618" s="33"/>
      <c r="BO618" s="33"/>
    </row>
    <row r="619" spans="1:67" ht="15.7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  <c r="AO619" s="33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33"/>
      <c r="BH619" s="33"/>
      <c r="BI619" s="33"/>
      <c r="BJ619" s="33"/>
      <c r="BK619" s="33"/>
      <c r="BL619" s="33"/>
      <c r="BM619" s="33"/>
      <c r="BN619" s="33"/>
      <c r="BO619" s="33"/>
    </row>
    <row r="620" spans="1:67" ht="15.7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  <c r="AO620" s="33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33"/>
      <c r="BH620" s="33"/>
      <c r="BI620" s="33"/>
      <c r="BJ620" s="33"/>
      <c r="BK620" s="33"/>
      <c r="BL620" s="33"/>
      <c r="BM620" s="33"/>
      <c r="BN620" s="33"/>
      <c r="BO620" s="33"/>
    </row>
    <row r="621" spans="1:67" ht="15.7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  <c r="AO621" s="33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33"/>
      <c r="BH621" s="33"/>
      <c r="BI621" s="33"/>
      <c r="BJ621" s="33"/>
      <c r="BK621" s="33"/>
      <c r="BL621" s="33"/>
      <c r="BM621" s="33"/>
      <c r="BN621" s="33"/>
      <c r="BO621" s="33"/>
    </row>
    <row r="622" spans="1:67" ht="15.7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33"/>
      <c r="BH622" s="33"/>
      <c r="BI622" s="33"/>
      <c r="BJ622" s="33"/>
      <c r="BK622" s="33"/>
      <c r="BL622" s="33"/>
      <c r="BM622" s="33"/>
      <c r="BN622" s="33"/>
      <c r="BO622" s="33"/>
    </row>
    <row r="623" spans="1:67" ht="15.7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  <c r="AO623" s="33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33"/>
      <c r="BH623" s="33"/>
      <c r="BI623" s="33"/>
      <c r="BJ623" s="33"/>
      <c r="BK623" s="33"/>
      <c r="BL623" s="33"/>
      <c r="BM623" s="33"/>
      <c r="BN623" s="33"/>
      <c r="BO623" s="33"/>
    </row>
    <row r="624" spans="1:67" ht="15.7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  <c r="AO624" s="33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33"/>
      <c r="BH624" s="33"/>
      <c r="BI624" s="33"/>
      <c r="BJ624" s="33"/>
      <c r="BK624" s="33"/>
      <c r="BL624" s="33"/>
      <c r="BM624" s="33"/>
      <c r="BN624" s="33"/>
      <c r="BO624" s="33"/>
    </row>
    <row r="625" spans="1:67" ht="15.7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  <c r="AO625" s="33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33"/>
      <c r="BH625" s="33"/>
      <c r="BI625" s="33"/>
      <c r="BJ625" s="33"/>
      <c r="BK625" s="33"/>
      <c r="BL625" s="33"/>
      <c r="BM625" s="33"/>
      <c r="BN625" s="33"/>
      <c r="BO625" s="33"/>
    </row>
    <row r="626" spans="1:67" ht="15.7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33"/>
      <c r="BH626" s="33"/>
      <c r="BI626" s="33"/>
      <c r="BJ626" s="33"/>
      <c r="BK626" s="33"/>
      <c r="BL626" s="33"/>
      <c r="BM626" s="33"/>
      <c r="BN626" s="33"/>
      <c r="BO626" s="33"/>
    </row>
    <row r="627" spans="1:67" ht="15.7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33"/>
      <c r="BH627" s="33"/>
      <c r="BI627" s="33"/>
      <c r="BJ627" s="33"/>
      <c r="BK627" s="33"/>
      <c r="BL627" s="33"/>
      <c r="BM627" s="33"/>
      <c r="BN627" s="33"/>
      <c r="BO627" s="33"/>
    </row>
    <row r="628" spans="1:67" ht="15.7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33"/>
      <c r="BH628" s="33"/>
      <c r="BI628" s="33"/>
      <c r="BJ628" s="33"/>
      <c r="BK628" s="33"/>
      <c r="BL628" s="33"/>
      <c r="BM628" s="33"/>
      <c r="BN628" s="33"/>
      <c r="BO628" s="33"/>
    </row>
    <row r="629" spans="1:67" ht="15.7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33"/>
      <c r="BH629" s="33"/>
      <c r="BI629" s="33"/>
      <c r="BJ629" s="33"/>
      <c r="BK629" s="33"/>
      <c r="BL629" s="33"/>
      <c r="BM629" s="33"/>
      <c r="BN629" s="33"/>
      <c r="BO629" s="33"/>
    </row>
    <row r="630" spans="1:67" ht="15.7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  <c r="AO630" s="33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33"/>
      <c r="BH630" s="33"/>
      <c r="BI630" s="33"/>
      <c r="BJ630" s="33"/>
      <c r="BK630" s="33"/>
      <c r="BL630" s="33"/>
      <c r="BM630" s="33"/>
      <c r="BN630" s="33"/>
      <c r="BO630" s="33"/>
    </row>
    <row r="631" spans="1:67" ht="15.7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  <c r="AO631" s="33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33"/>
      <c r="BH631" s="33"/>
      <c r="BI631" s="33"/>
      <c r="BJ631" s="33"/>
      <c r="BK631" s="33"/>
      <c r="BL631" s="33"/>
      <c r="BM631" s="33"/>
      <c r="BN631" s="33"/>
      <c r="BO631" s="33"/>
    </row>
    <row r="632" spans="1:67" ht="15.7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  <c r="AO632" s="33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33"/>
      <c r="BH632" s="33"/>
      <c r="BI632" s="33"/>
      <c r="BJ632" s="33"/>
      <c r="BK632" s="33"/>
      <c r="BL632" s="33"/>
      <c r="BM632" s="33"/>
      <c r="BN632" s="33"/>
      <c r="BO632" s="33"/>
    </row>
    <row r="633" spans="1:67" ht="15.7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  <c r="AO633" s="33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33"/>
      <c r="BH633" s="33"/>
      <c r="BI633" s="33"/>
      <c r="BJ633" s="33"/>
      <c r="BK633" s="33"/>
      <c r="BL633" s="33"/>
      <c r="BM633" s="33"/>
      <c r="BN633" s="33"/>
      <c r="BO633" s="33"/>
    </row>
    <row r="634" spans="1:67" ht="15.7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  <c r="AO634" s="33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33"/>
      <c r="BH634" s="33"/>
      <c r="BI634" s="33"/>
      <c r="BJ634" s="33"/>
      <c r="BK634" s="33"/>
      <c r="BL634" s="33"/>
      <c r="BM634" s="33"/>
      <c r="BN634" s="33"/>
      <c r="BO634" s="33"/>
    </row>
    <row r="635" spans="1:67" ht="15.7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  <c r="AO635" s="33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33"/>
      <c r="BH635" s="33"/>
      <c r="BI635" s="33"/>
      <c r="BJ635" s="33"/>
      <c r="BK635" s="33"/>
      <c r="BL635" s="33"/>
      <c r="BM635" s="33"/>
      <c r="BN635" s="33"/>
      <c r="BO635" s="33"/>
    </row>
    <row r="636" spans="1:67" ht="15.7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  <c r="AO636" s="33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33"/>
      <c r="BH636" s="33"/>
      <c r="BI636" s="33"/>
      <c r="BJ636" s="33"/>
      <c r="BK636" s="33"/>
      <c r="BL636" s="33"/>
      <c r="BM636" s="33"/>
      <c r="BN636" s="33"/>
      <c r="BO636" s="33"/>
    </row>
    <row r="637" spans="1:67" ht="15.7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  <c r="AO637" s="33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33"/>
      <c r="BH637" s="33"/>
      <c r="BI637" s="33"/>
      <c r="BJ637" s="33"/>
      <c r="BK637" s="33"/>
      <c r="BL637" s="33"/>
      <c r="BM637" s="33"/>
      <c r="BN637" s="33"/>
      <c r="BO637" s="33"/>
    </row>
    <row r="638" spans="1:67" ht="15.7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  <c r="AO638" s="33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33"/>
      <c r="BH638" s="33"/>
      <c r="BI638" s="33"/>
      <c r="BJ638" s="33"/>
      <c r="BK638" s="33"/>
      <c r="BL638" s="33"/>
      <c r="BM638" s="33"/>
      <c r="BN638" s="33"/>
      <c r="BO638" s="33"/>
    </row>
    <row r="639" spans="1:67" ht="15.7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  <c r="AO639" s="33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33"/>
      <c r="BH639" s="33"/>
      <c r="BI639" s="33"/>
      <c r="BJ639" s="33"/>
      <c r="BK639" s="33"/>
      <c r="BL639" s="33"/>
      <c r="BM639" s="33"/>
      <c r="BN639" s="33"/>
      <c r="BO639" s="33"/>
    </row>
    <row r="640" spans="1:67" ht="15.7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  <c r="AO640" s="33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33"/>
      <c r="BH640" s="33"/>
      <c r="BI640" s="33"/>
      <c r="BJ640" s="33"/>
      <c r="BK640" s="33"/>
      <c r="BL640" s="33"/>
      <c r="BM640" s="33"/>
      <c r="BN640" s="33"/>
      <c r="BO640" s="33"/>
    </row>
    <row r="641" spans="1:67" ht="15.7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  <c r="AO641" s="33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33"/>
      <c r="BH641" s="33"/>
      <c r="BI641" s="33"/>
      <c r="BJ641" s="33"/>
      <c r="BK641" s="33"/>
      <c r="BL641" s="33"/>
      <c r="BM641" s="33"/>
      <c r="BN641" s="33"/>
      <c r="BO641" s="33"/>
    </row>
    <row r="642" spans="1:67" ht="15.7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  <c r="AO642" s="33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33"/>
      <c r="BH642" s="33"/>
      <c r="BI642" s="33"/>
      <c r="BJ642" s="33"/>
      <c r="BK642" s="33"/>
      <c r="BL642" s="33"/>
      <c r="BM642" s="33"/>
      <c r="BN642" s="33"/>
      <c r="BO642" s="33"/>
    </row>
    <row r="643" spans="1:67" ht="15.7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  <c r="AO643" s="33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33"/>
      <c r="BH643" s="33"/>
      <c r="BI643" s="33"/>
      <c r="BJ643" s="33"/>
      <c r="BK643" s="33"/>
      <c r="BL643" s="33"/>
      <c r="BM643" s="33"/>
      <c r="BN643" s="33"/>
      <c r="BO643" s="33"/>
    </row>
    <row r="644" spans="1:67" ht="15.7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  <c r="AO644" s="33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33"/>
      <c r="BH644" s="33"/>
      <c r="BI644" s="33"/>
      <c r="BJ644" s="33"/>
      <c r="BK644" s="33"/>
      <c r="BL644" s="33"/>
      <c r="BM644" s="33"/>
      <c r="BN644" s="33"/>
      <c r="BO644" s="33"/>
    </row>
    <row r="645" spans="1:67" ht="15.7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  <c r="AO645" s="33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  <c r="BH645" s="33"/>
      <c r="BI645" s="33"/>
      <c r="BJ645" s="33"/>
      <c r="BK645" s="33"/>
      <c r="BL645" s="33"/>
      <c r="BM645" s="33"/>
      <c r="BN645" s="33"/>
      <c r="BO645" s="33"/>
    </row>
    <row r="646" spans="1:67" ht="15.7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  <c r="AO646" s="33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33"/>
      <c r="BH646" s="33"/>
      <c r="BI646" s="33"/>
      <c r="BJ646" s="33"/>
      <c r="BK646" s="33"/>
      <c r="BL646" s="33"/>
      <c r="BM646" s="33"/>
      <c r="BN646" s="33"/>
      <c r="BO646" s="33"/>
    </row>
    <row r="647" spans="1:67" ht="15.7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  <c r="AO647" s="33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33"/>
      <c r="BH647" s="33"/>
      <c r="BI647" s="33"/>
      <c r="BJ647" s="33"/>
      <c r="BK647" s="33"/>
      <c r="BL647" s="33"/>
      <c r="BM647" s="33"/>
      <c r="BN647" s="33"/>
      <c r="BO647" s="33"/>
    </row>
    <row r="648" spans="1:67" ht="15.7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  <c r="AO648" s="33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33"/>
      <c r="BH648" s="33"/>
      <c r="BI648" s="33"/>
      <c r="BJ648" s="33"/>
      <c r="BK648" s="33"/>
      <c r="BL648" s="33"/>
      <c r="BM648" s="33"/>
      <c r="BN648" s="33"/>
      <c r="BO648" s="33"/>
    </row>
    <row r="649" spans="1:67" ht="15.7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  <c r="AO649" s="33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33"/>
      <c r="BH649" s="33"/>
      <c r="BI649" s="33"/>
      <c r="BJ649" s="33"/>
      <c r="BK649" s="33"/>
      <c r="BL649" s="33"/>
      <c r="BM649" s="33"/>
      <c r="BN649" s="33"/>
      <c r="BO649" s="33"/>
    </row>
    <row r="650" spans="1:67" ht="15.7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  <c r="AO650" s="33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33"/>
      <c r="BH650" s="33"/>
      <c r="BI650" s="33"/>
      <c r="BJ650" s="33"/>
      <c r="BK650" s="33"/>
      <c r="BL650" s="33"/>
      <c r="BM650" s="33"/>
      <c r="BN650" s="33"/>
      <c r="BO650" s="33"/>
    </row>
    <row r="651" spans="1:67" ht="15.7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  <c r="AO651" s="33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33"/>
      <c r="BH651" s="33"/>
      <c r="BI651" s="33"/>
      <c r="BJ651" s="33"/>
      <c r="BK651" s="33"/>
      <c r="BL651" s="33"/>
      <c r="BM651" s="33"/>
      <c r="BN651" s="33"/>
      <c r="BO651" s="33"/>
    </row>
    <row r="652" spans="1:67" ht="15.7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  <c r="AO652" s="33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33"/>
      <c r="BH652" s="33"/>
      <c r="BI652" s="33"/>
      <c r="BJ652" s="33"/>
      <c r="BK652" s="33"/>
      <c r="BL652" s="33"/>
      <c r="BM652" s="33"/>
      <c r="BN652" s="33"/>
      <c r="BO652" s="33"/>
    </row>
    <row r="653" spans="1:67" ht="15.7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  <c r="AO653" s="33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33"/>
      <c r="BH653" s="33"/>
      <c r="BI653" s="33"/>
      <c r="BJ653" s="33"/>
      <c r="BK653" s="33"/>
      <c r="BL653" s="33"/>
      <c r="BM653" s="33"/>
      <c r="BN653" s="33"/>
      <c r="BO653" s="33"/>
    </row>
    <row r="654" spans="1:67" ht="15.7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  <c r="AO654" s="33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33"/>
      <c r="BH654" s="33"/>
      <c r="BI654" s="33"/>
      <c r="BJ654" s="33"/>
      <c r="BK654" s="33"/>
      <c r="BL654" s="33"/>
      <c r="BM654" s="33"/>
      <c r="BN654" s="33"/>
      <c r="BO654" s="33"/>
    </row>
    <row r="655" spans="1:67" ht="15.7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  <c r="AO655" s="33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33"/>
      <c r="BH655" s="33"/>
      <c r="BI655" s="33"/>
      <c r="BJ655" s="33"/>
      <c r="BK655" s="33"/>
      <c r="BL655" s="33"/>
      <c r="BM655" s="33"/>
      <c r="BN655" s="33"/>
      <c r="BO655" s="33"/>
    </row>
    <row r="656" spans="1:67" ht="15.7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  <c r="AO656" s="33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33"/>
      <c r="BH656" s="33"/>
      <c r="BI656" s="33"/>
      <c r="BJ656" s="33"/>
      <c r="BK656" s="33"/>
      <c r="BL656" s="33"/>
      <c r="BM656" s="33"/>
      <c r="BN656" s="33"/>
      <c r="BO656" s="33"/>
    </row>
    <row r="657" spans="1:67" ht="15.7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  <c r="AO657" s="33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33"/>
      <c r="BH657" s="33"/>
      <c r="BI657" s="33"/>
      <c r="BJ657" s="33"/>
      <c r="BK657" s="33"/>
      <c r="BL657" s="33"/>
      <c r="BM657" s="33"/>
      <c r="BN657" s="33"/>
      <c r="BO657" s="33"/>
    </row>
    <row r="658" spans="1:67" ht="15.7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  <c r="AO658" s="33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33"/>
      <c r="BH658" s="33"/>
      <c r="BI658" s="33"/>
      <c r="BJ658" s="33"/>
      <c r="BK658" s="33"/>
      <c r="BL658" s="33"/>
      <c r="BM658" s="33"/>
      <c r="BN658" s="33"/>
      <c r="BO658" s="33"/>
    </row>
    <row r="659" spans="1:67" ht="15.7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  <c r="AO659" s="33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33"/>
      <c r="BH659" s="33"/>
      <c r="BI659" s="33"/>
      <c r="BJ659" s="33"/>
      <c r="BK659" s="33"/>
      <c r="BL659" s="33"/>
      <c r="BM659" s="33"/>
      <c r="BN659" s="33"/>
      <c r="BO659" s="33"/>
    </row>
    <row r="660" spans="1:67" ht="15.7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  <c r="AO660" s="33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33"/>
      <c r="BH660" s="33"/>
      <c r="BI660" s="33"/>
      <c r="BJ660" s="33"/>
      <c r="BK660" s="33"/>
      <c r="BL660" s="33"/>
      <c r="BM660" s="33"/>
      <c r="BN660" s="33"/>
      <c r="BO660" s="33"/>
    </row>
    <row r="661" spans="1:67" ht="15.7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  <c r="AO661" s="33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33"/>
      <c r="BH661" s="33"/>
      <c r="BI661" s="33"/>
      <c r="BJ661" s="33"/>
      <c r="BK661" s="33"/>
      <c r="BL661" s="33"/>
      <c r="BM661" s="33"/>
      <c r="BN661" s="33"/>
      <c r="BO661" s="33"/>
    </row>
    <row r="662" spans="1:67" ht="15.7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  <c r="AO662" s="33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33"/>
      <c r="BH662" s="33"/>
      <c r="BI662" s="33"/>
      <c r="BJ662" s="33"/>
      <c r="BK662" s="33"/>
      <c r="BL662" s="33"/>
      <c r="BM662" s="33"/>
      <c r="BN662" s="33"/>
      <c r="BO662" s="33"/>
    </row>
    <row r="663" spans="1:67" ht="15.7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  <c r="AO663" s="33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33"/>
      <c r="BH663" s="33"/>
      <c r="BI663" s="33"/>
      <c r="BJ663" s="33"/>
      <c r="BK663" s="33"/>
      <c r="BL663" s="33"/>
      <c r="BM663" s="33"/>
      <c r="BN663" s="33"/>
      <c r="BO663" s="33"/>
    </row>
    <row r="664" spans="1:67" ht="15.7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  <c r="AO664" s="33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33"/>
      <c r="BH664" s="33"/>
      <c r="BI664" s="33"/>
      <c r="BJ664" s="33"/>
      <c r="BK664" s="33"/>
      <c r="BL664" s="33"/>
      <c r="BM664" s="33"/>
      <c r="BN664" s="33"/>
      <c r="BO664" s="33"/>
    </row>
    <row r="665" spans="1:67" ht="15.7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  <c r="AO665" s="33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33"/>
      <c r="BH665" s="33"/>
      <c r="BI665" s="33"/>
      <c r="BJ665" s="33"/>
      <c r="BK665" s="33"/>
      <c r="BL665" s="33"/>
      <c r="BM665" s="33"/>
      <c r="BN665" s="33"/>
      <c r="BO665" s="33"/>
    </row>
    <row r="666" spans="1:67" ht="15.7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  <c r="AO666" s="33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33"/>
      <c r="BH666" s="33"/>
      <c r="BI666" s="33"/>
      <c r="BJ666" s="33"/>
      <c r="BK666" s="33"/>
      <c r="BL666" s="33"/>
      <c r="BM666" s="33"/>
      <c r="BN666" s="33"/>
      <c r="BO666" s="33"/>
    </row>
    <row r="667" spans="1:67" ht="15.7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  <c r="AO667" s="33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33"/>
      <c r="BH667" s="33"/>
      <c r="BI667" s="33"/>
      <c r="BJ667" s="33"/>
      <c r="BK667" s="33"/>
      <c r="BL667" s="33"/>
      <c r="BM667" s="33"/>
      <c r="BN667" s="33"/>
      <c r="BO667" s="33"/>
    </row>
    <row r="668" spans="1:67" ht="15.7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  <c r="AO668" s="33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33"/>
      <c r="BH668" s="33"/>
      <c r="BI668" s="33"/>
      <c r="BJ668" s="33"/>
      <c r="BK668" s="33"/>
      <c r="BL668" s="33"/>
      <c r="BM668" s="33"/>
      <c r="BN668" s="33"/>
      <c r="BO668" s="33"/>
    </row>
    <row r="669" spans="1:67" ht="15.7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  <c r="AO669" s="33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33"/>
      <c r="BH669" s="33"/>
      <c r="BI669" s="33"/>
      <c r="BJ669" s="33"/>
      <c r="BK669" s="33"/>
      <c r="BL669" s="33"/>
      <c r="BM669" s="33"/>
      <c r="BN669" s="33"/>
      <c r="BO669" s="33"/>
    </row>
    <row r="670" spans="1:67" ht="15.7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  <c r="AO670" s="33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33"/>
      <c r="BH670" s="33"/>
      <c r="BI670" s="33"/>
      <c r="BJ670" s="33"/>
      <c r="BK670" s="33"/>
      <c r="BL670" s="33"/>
      <c r="BM670" s="33"/>
      <c r="BN670" s="33"/>
      <c r="BO670" s="33"/>
    </row>
    <row r="671" spans="1:67" ht="15.7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  <c r="AO671" s="33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33"/>
      <c r="BH671" s="33"/>
      <c r="BI671" s="33"/>
      <c r="BJ671" s="33"/>
      <c r="BK671" s="33"/>
      <c r="BL671" s="33"/>
      <c r="BM671" s="33"/>
      <c r="BN671" s="33"/>
      <c r="BO671" s="33"/>
    </row>
    <row r="672" spans="1:67" ht="15.7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  <c r="AO672" s="33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33"/>
      <c r="BH672" s="33"/>
      <c r="BI672" s="33"/>
      <c r="BJ672" s="33"/>
      <c r="BK672" s="33"/>
      <c r="BL672" s="33"/>
      <c r="BM672" s="33"/>
      <c r="BN672" s="33"/>
      <c r="BO672" s="33"/>
    </row>
    <row r="673" spans="1:67" ht="15.7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  <c r="AO673" s="33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33"/>
      <c r="BH673" s="33"/>
      <c r="BI673" s="33"/>
      <c r="BJ673" s="33"/>
      <c r="BK673" s="33"/>
      <c r="BL673" s="33"/>
      <c r="BM673" s="33"/>
      <c r="BN673" s="33"/>
      <c r="BO673" s="33"/>
    </row>
    <row r="674" spans="1:67" ht="15.7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  <c r="AO674" s="33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33"/>
      <c r="BH674" s="33"/>
      <c r="BI674" s="33"/>
      <c r="BJ674" s="33"/>
      <c r="BK674" s="33"/>
      <c r="BL674" s="33"/>
      <c r="BM674" s="33"/>
      <c r="BN674" s="33"/>
      <c r="BO674" s="33"/>
    </row>
    <row r="675" spans="1:67" ht="15.7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  <c r="AO675" s="33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33"/>
      <c r="BH675" s="33"/>
      <c r="BI675" s="33"/>
      <c r="BJ675" s="33"/>
      <c r="BK675" s="33"/>
      <c r="BL675" s="33"/>
      <c r="BM675" s="33"/>
      <c r="BN675" s="33"/>
      <c r="BO675" s="33"/>
    </row>
    <row r="676" spans="1:67" ht="15.7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  <c r="AO676" s="33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33"/>
      <c r="BH676" s="33"/>
      <c r="BI676" s="33"/>
      <c r="BJ676" s="33"/>
      <c r="BK676" s="33"/>
      <c r="BL676" s="33"/>
      <c r="BM676" s="33"/>
      <c r="BN676" s="33"/>
      <c r="BO676" s="33"/>
    </row>
    <row r="677" spans="1:67" ht="15.7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  <c r="AO677" s="33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33"/>
      <c r="BH677" s="33"/>
      <c r="BI677" s="33"/>
      <c r="BJ677" s="33"/>
      <c r="BK677" s="33"/>
      <c r="BL677" s="33"/>
      <c r="BM677" s="33"/>
      <c r="BN677" s="33"/>
      <c r="BO677" s="33"/>
    </row>
    <row r="678" spans="1:67" ht="15.7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  <c r="AO678" s="33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33"/>
      <c r="BH678" s="33"/>
      <c r="BI678" s="33"/>
      <c r="BJ678" s="33"/>
      <c r="BK678" s="33"/>
      <c r="BL678" s="33"/>
      <c r="BM678" s="33"/>
      <c r="BN678" s="33"/>
      <c r="BO678" s="33"/>
    </row>
    <row r="679" spans="1:67" ht="15.7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  <c r="AO679" s="33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33"/>
      <c r="BH679" s="33"/>
      <c r="BI679" s="33"/>
      <c r="BJ679" s="33"/>
      <c r="BK679" s="33"/>
      <c r="BL679" s="33"/>
      <c r="BM679" s="33"/>
      <c r="BN679" s="33"/>
      <c r="BO679" s="33"/>
    </row>
    <row r="680" spans="1:67" ht="15.7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  <c r="AO680" s="33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33"/>
      <c r="BH680" s="33"/>
      <c r="BI680" s="33"/>
      <c r="BJ680" s="33"/>
      <c r="BK680" s="33"/>
      <c r="BL680" s="33"/>
      <c r="BM680" s="33"/>
      <c r="BN680" s="33"/>
      <c r="BO680" s="33"/>
    </row>
    <row r="681" spans="1:67" ht="15.7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  <c r="AO681" s="33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33"/>
      <c r="BH681" s="33"/>
      <c r="BI681" s="33"/>
      <c r="BJ681" s="33"/>
      <c r="BK681" s="33"/>
      <c r="BL681" s="33"/>
      <c r="BM681" s="33"/>
      <c r="BN681" s="33"/>
      <c r="BO681" s="33"/>
    </row>
    <row r="682" spans="1:67" ht="15.7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  <c r="AO682" s="33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33"/>
      <c r="BH682" s="33"/>
      <c r="BI682" s="33"/>
      <c r="BJ682" s="33"/>
      <c r="BK682" s="33"/>
      <c r="BL682" s="33"/>
      <c r="BM682" s="33"/>
      <c r="BN682" s="33"/>
      <c r="BO682" s="33"/>
    </row>
    <row r="683" spans="1:67" ht="15.7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  <c r="AO683" s="33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33"/>
      <c r="BH683" s="33"/>
      <c r="BI683" s="33"/>
      <c r="BJ683" s="33"/>
      <c r="BK683" s="33"/>
      <c r="BL683" s="33"/>
      <c r="BM683" s="33"/>
      <c r="BN683" s="33"/>
      <c r="BO683" s="33"/>
    </row>
    <row r="684" spans="1:67" ht="15.7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  <c r="AO684" s="33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33"/>
      <c r="BH684" s="33"/>
      <c r="BI684" s="33"/>
      <c r="BJ684" s="33"/>
      <c r="BK684" s="33"/>
      <c r="BL684" s="33"/>
      <c r="BM684" s="33"/>
      <c r="BN684" s="33"/>
      <c r="BO684" s="33"/>
    </row>
    <row r="685" spans="1:67" ht="15.7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  <c r="AO685" s="33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33"/>
      <c r="BH685" s="33"/>
      <c r="BI685" s="33"/>
      <c r="BJ685" s="33"/>
      <c r="BK685" s="33"/>
      <c r="BL685" s="33"/>
      <c r="BM685" s="33"/>
      <c r="BN685" s="33"/>
      <c r="BO685" s="33"/>
    </row>
    <row r="686" spans="1:67" ht="15.7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  <c r="AO686" s="33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33"/>
      <c r="BH686" s="33"/>
      <c r="BI686" s="33"/>
      <c r="BJ686" s="33"/>
      <c r="BK686" s="33"/>
      <c r="BL686" s="33"/>
      <c r="BM686" s="33"/>
      <c r="BN686" s="33"/>
      <c r="BO686" s="33"/>
    </row>
    <row r="687" spans="1:67" ht="15.7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  <c r="AO687" s="33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33"/>
      <c r="BH687" s="33"/>
      <c r="BI687" s="33"/>
      <c r="BJ687" s="33"/>
      <c r="BK687" s="33"/>
      <c r="BL687" s="33"/>
      <c r="BM687" s="33"/>
      <c r="BN687" s="33"/>
      <c r="BO687" s="33"/>
    </row>
    <row r="688" spans="1:67" ht="15.7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  <c r="AO688" s="33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33"/>
      <c r="BH688" s="33"/>
      <c r="BI688" s="33"/>
      <c r="BJ688" s="33"/>
      <c r="BK688" s="33"/>
      <c r="BL688" s="33"/>
      <c r="BM688" s="33"/>
      <c r="BN688" s="33"/>
      <c r="BO688" s="33"/>
    </row>
    <row r="689" spans="1:67" ht="15.7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  <c r="AO689" s="33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33"/>
      <c r="BH689" s="33"/>
      <c r="BI689" s="33"/>
      <c r="BJ689" s="33"/>
      <c r="BK689" s="33"/>
      <c r="BL689" s="33"/>
      <c r="BM689" s="33"/>
      <c r="BN689" s="33"/>
      <c r="BO689" s="33"/>
    </row>
    <row r="690" spans="1:67" ht="15.7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  <c r="AO690" s="33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33"/>
      <c r="BH690" s="33"/>
      <c r="BI690" s="33"/>
      <c r="BJ690" s="33"/>
      <c r="BK690" s="33"/>
      <c r="BL690" s="33"/>
      <c r="BM690" s="33"/>
      <c r="BN690" s="33"/>
      <c r="BO690" s="33"/>
    </row>
    <row r="691" spans="1:67" ht="15.7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  <c r="AO691" s="33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33"/>
      <c r="BH691" s="33"/>
      <c r="BI691" s="33"/>
      <c r="BJ691" s="33"/>
      <c r="BK691" s="33"/>
      <c r="BL691" s="33"/>
      <c r="BM691" s="33"/>
      <c r="BN691" s="33"/>
      <c r="BO691" s="33"/>
    </row>
    <row r="692" spans="1:67" ht="15.7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  <c r="AO692" s="33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33"/>
      <c r="BH692" s="33"/>
      <c r="BI692" s="33"/>
      <c r="BJ692" s="33"/>
      <c r="BK692" s="33"/>
      <c r="BL692" s="33"/>
      <c r="BM692" s="33"/>
      <c r="BN692" s="33"/>
      <c r="BO692" s="33"/>
    </row>
    <row r="693" spans="1:67" ht="15.7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  <c r="AO693" s="33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33"/>
      <c r="BH693" s="33"/>
      <c r="BI693" s="33"/>
      <c r="BJ693" s="33"/>
      <c r="BK693" s="33"/>
      <c r="BL693" s="33"/>
      <c r="BM693" s="33"/>
      <c r="BN693" s="33"/>
      <c r="BO693" s="33"/>
    </row>
    <row r="694" spans="1:67" ht="15.7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  <c r="AO694" s="33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33"/>
      <c r="BH694" s="33"/>
      <c r="BI694" s="33"/>
      <c r="BJ694" s="33"/>
      <c r="BK694" s="33"/>
      <c r="BL694" s="33"/>
      <c r="BM694" s="33"/>
      <c r="BN694" s="33"/>
      <c r="BO694" s="33"/>
    </row>
    <row r="695" spans="1:67" ht="15.7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  <c r="AO695" s="33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33"/>
      <c r="BH695" s="33"/>
      <c r="BI695" s="33"/>
      <c r="BJ695" s="33"/>
      <c r="BK695" s="33"/>
      <c r="BL695" s="33"/>
      <c r="BM695" s="33"/>
      <c r="BN695" s="33"/>
      <c r="BO695" s="33"/>
    </row>
    <row r="696" spans="1:67" ht="15.7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  <c r="AO696" s="33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33"/>
      <c r="BH696" s="33"/>
      <c r="BI696" s="33"/>
      <c r="BJ696" s="33"/>
      <c r="BK696" s="33"/>
      <c r="BL696" s="33"/>
      <c r="BM696" s="33"/>
      <c r="BN696" s="33"/>
      <c r="BO696" s="33"/>
    </row>
    <row r="697" spans="1:67" ht="15.7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  <c r="AO697" s="33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33"/>
      <c r="BH697" s="33"/>
      <c r="BI697" s="33"/>
      <c r="BJ697" s="33"/>
      <c r="BK697" s="33"/>
      <c r="BL697" s="33"/>
      <c r="BM697" s="33"/>
      <c r="BN697" s="33"/>
      <c r="BO697" s="33"/>
    </row>
    <row r="698" spans="1:67" ht="15.7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  <c r="AO698" s="33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33"/>
      <c r="BH698" s="33"/>
      <c r="BI698" s="33"/>
      <c r="BJ698" s="33"/>
      <c r="BK698" s="33"/>
      <c r="BL698" s="33"/>
      <c r="BM698" s="33"/>
      <c r="BN698" s="33"/>
      <c r="BO698" s="33"/>
    </row>
    <row r="699" spans="1:67" ht="15.7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  <c r="AO699" s="33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33"/>
      <c r="BH699" s="33"/>
      <c r="BI699" s="33"/>
      <c r="BJ699" s="33"/>
      <c r="BK699" s="33"/>
      <c r="BL699" s="33"/>
      <c r="BM699" s="33"/>
      <c r="BN699" s="33"/>
      <c r="BO699" s="33"/>
    </row>
    <row r="700" spans="1:67" ht="15.7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  <c r="AO700" s="33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33"/>
      <c r="BH700" s="33"/>
      <c r="BI700" s="33"/>
      <c r="BJ700" s="33"/>
      <c r="BK700" s="33"/>
      <c r="BL700" s="33"/>
      <c r="BM700" s="33"/>
      <c r="BN700" s="33"/>
      <c r="BO700" s="33"/>
    </row>
    <row r="701" spans="1:67" ht="15.7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  <c r="AO701" s="33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33"/>
      <c r="BH701" s="33"/>
      <c r="BI701" s="33"/>
      <c r="BJ701" s="33"/>
      <c r="BK701" s="33"/>
      <c r="BL701" s="33"/>
      <c r="BM701" s="33"/>
      <c r="BN701" s="33"/>
      <c r="BO701" s="33"/>
    </row>
    <row r="702" spans="1:67" ht="15.7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  <c r="AO702" s="33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33"/>
      <c r="BH702" s="33"/>
      <c r="BI702" s="33"/>
      <c r="BJ702" s="33"/>
      <c r="BK702" s="33"/>
      <c r="BL702" s="33"/>
      <c r="BM702" s="33"/>
      <c r="BN702" s="33"/>
      <c r="BO702" s="33"/>
    </row>
    <row r="703" spans="1:67" ht="15.7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  <c r="AO703" s="33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33"/>
      <c r="BH703" s="33"/>
      <c r="BI703" s="33"/>
      <c r="BJ703" s="33"/>
      <c r="BK703" s="33"/>
      <c r="BL703" s="33"/>
      <c r="BM703" s="33"/>
      <c r="BN703" s="33"/>
      <c r="BO703" s="33"/>
    </row>
    <row r="704" spans="1:67" ht="15.7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  <c r="AO704" s="33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33"/>
      <c r="BH704" s="33"/>
      <c r="BI704" s="33"/>
      <c r="BJ704" s="33"/>
      <c r="BK704" s="33"/>
      <c r="BL704" s="33"/>
      <c r="BM704" s="33"/>
      <c r="BN704" s="33"/>
      <c r="BO704" s="33"/>
    </row>
    <row r="705" spans="1:67" ht="15.7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  <c r="AO705" s="33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33"/>
      <c r="BH705" s="33"/>
      <c r="BI705" s="33"/>
      <c r="BJ705" s="33"/>
      <c r="BK705" s="33"/>
      <c r="BL705" s="33"/>
      <c r="BM705" s="33"/>
      <c r="BN705" s="33"/>
      <c r="BO705" s="33"/>
    </row>
    <row r="706" spans="1:67" ht="15.7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  <c r="AO706" s="33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33"/>
      <c r="BH706" s="33"/>
      <c r="BI706" s="33"/>
      <c r="BJ706" s="33"/>
      <c r="BK706" s="33"/>
      <c r="BL706" s="33"/>
      <c r="BM706" s="33"/>
      <c r="BN706" s="33"/>
      <c r="BO706" s="33"/>
    </row>
    <row r="707" spans="1:67" ht="15.7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  <c r="AO707" s="33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33"/>
      <c r="BH707" s="33"/>
      <c r="BI707" s="33"/>
      <c r="BJ707" s="33"/>
      <c r="BK707" s="33"/>
      <c r="BL707" s="33"/>
      <c r="BM707" s="33"/>
      <c r="BN707" s="33"/>
      <c r="BO707" s="33"/>
    </row>
    <row r="708" spans="1:67" ht="15.7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  <c r="AO708" s="33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33"/>
      <c r="BH708" s="33"/>
      <c r="BI708" s="33"/>
      <c r="BJ708" s="33"/>
      <c r="BK708" s="33"/>
      <c r="BL708" s="33"/>
      <c r="BM708" s="33"/>
      <c r="BN708" s="33"/>
      <c r="BO708" s="33"/>
    </row>
    <row r="709" spans="1:67" ht="15.7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  <c r="AO709" s="33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33"/>
      <c r="BH709" s="33"/>
      <c r="BI709" s="33"/>
      <c r="BJ709" s="33"/>
      <c r="BK709" s="33"/>
      <c r="BL709" s="33"/>
      <c r="BM709" s="33"/>
      <c r="BN709" s="33"/>
      <c r="BO709" s="33"/>
    </row>
    <row r="710" spans="1:67" ht="15.7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  <c r="AO710" s="33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33"/>
      <c r="BH710" s="33"/>
      <c r="BI710" s="33"/>
      <c r="BJ710" s="33"/>
      <c r="BK710" s="33"/>
      <c r="BL710" s="33"/>
      <c r="BM710" s="33"/>
      <c r="BN710" s="33"/>
      <c r="BO710" s="33"/>
    </row>
    <row r="711" spans="1:67" ht="15.7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  <c r="AO711" s="33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33"/>
      <c r="BH711" s="33"/>
      <c r="BI711" s="33"/>
      <c r="BJ711" s="33"/>
      <c r="BK711" s="33"/>
      <c r="BL711" s="33"/>
      <c r="BM711" s="33"/>
      <c r="BN711" s="33"/>
      <c r="BO711" s="33"/>
    </row>
    <row r="712" spans="1:67" ht="15.7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  <c r="AO712" s="33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33"/>
      <c r="BH712" s="33"/>
      <c r="BI712" s="33"/>
      <c r="BJ712" s="33"/>
      <c r="BK712" s="33"/>
      <c r="BL712" s="33"/>
      <c r="BM712" s="33"/>
      <c r="BN712" s="33"/>
      <c r="BO712" s="33"/>
    </row>
    <row r="713" spans="1:67" ht="15.7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  <c r="AO713" s="33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33"/>
      <c r="BH713" s="33"/>
      <c r="BI713" s="33"/>
      <c r="BJ713" s="33"/>
      <c r="BK713" s="33"/>
      <c r="BL713" s="33"/>
      <c r="BM713" s="33"/>
      <c r="BN713" s="33"/>
      <c r="BO713" s="33"/>
    </row>
    <row r="714" spans="1:67" ht="15.7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  <c r="AO714" s="33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33"/>
      <c r="BH714" s="33"/>
      <c r="BI714" s="33"/>
      <c r="BJ714" s="33"/>
      <c r="BK714" s="33"/>
      <c r="BL714" s="33"/>
      <c r="BM714" s="33"/>
      <c r="BN714" s="33"/>
      <c r="BO714" s="33"/>
    </row>
    <row r="715" spans="1:67" ht="15.7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  <c r="AO715" s="33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33"/>
      <c r="BH715" s="33"/>
      <c r="BI715" s="33"/>
      <c r="BJ715" s="33"/>
      <c r="BK715" s="33"/>
      <c r="BL715" s="33"/>
      <c r="BM715" s="33"/>
      <c r="BN715" s="33"/>
      <c r="BO715" s="33"/>
    </row>
    <row r="716" spans="1:67" ht="15.7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  <c r="AO716" s="33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33"/>
      <c r="BH716" s="33"/>
      <c r="BI716" s="33"/>
      <c r="BJ716" s="33"/>
      <c r="BK716" s="33"/>
      <c r="BL716" s="33"/>
      <c r="BM716" s="33"/>
      <c r="BN716" s="33"/>
      <c r="BO716" s="33"/>
    </row>
    <row r="717" spans="1:67" ht="15.7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  <c r="AO717" s="33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33"/>
      <c r="BH717" s="33"/>
      <c r="BI717" s="33"/>
      <c r="BJ717" s="33"/>
      <c r="BK717" s="33"/>
      <c r="BL717" s="33"/>
      <c r="BM717" s="33"/>
      <c r="BN717" s="33"/>
      <c r="BO717" s="33"/>
    </row>
    <row r="718" spans="1:67" ht="15.7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  <c r="AO718" s="33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33"/>
      <c r="BH718" s="33"/>
      <c r="BI718" s="33"/>
      <c r="BJ718" s="33"/>
      <c r="BK718" s="33"/>
      <c r="BL718" s="33"/>
      <c r="BM718" s="33"/>
      <c r="BN718" s="33"/>
      <c r="BO718" s="33"/>
    </row>
    <row r="719" spans="1:67" ht="15.7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  <c r="AO719" s="33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33"/>
      <c r="BH719" s="33"/>
      <c r="BI719" s="33"/>
      <c r="BJ719" s="33"/>
      <c r="BK719" s="33"/>
      <c r="BL719" s="33"/>
      <c r="BM719" s="33"/>
      <c r="BN719" s="33"/>
      <c r="BO719" s="33"/>
    </row>
    <row r="720" spans="1:67" ht="15.7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  <c r="AO720" s="33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33"/>
      <c r="BH720" s="33"/>
      <c r="BI720" s="33"/>
      <c r="BJ720" s="33"/>
      <c r="BK720" s="33"/>
      <c r="BL720" s="33"/>
      <c r="BM720" s="33"/>
      <c r="BN720" s="33"/>
      <c r="BO720" s="33"/>
    </row>
    <row r="721" spans="1:67" ht="15.7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  <c r="AO721" s="33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33"/>
      <c r="BH721" s="33"/>
      <c r="BI721" s="33"/>
      <c r="BJ721" s="33"/>
      <c r="BK721" s="33"/>
      <c r="BL721" s="33"/>
      <c r="BM721" s="33"/>
      <c r="BN721" s="33"/>
      <c r="BO721" s="33"/>
    </row>
    <row r="722" spans="1:67" ht="15.7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  <c r="AO722" s="33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33"/>
      <c r="BH722" s="33"/>
      <c r="BI722" s="33"/>
      <c r="BJ722" s="33"/>
      <c r="BK722" s="33"/>
      <c r="BL722" s="33"/>
      <c r="BM722" s="33"/>
      <c r="BN722" s="33"/>
      <c r="BO722" s="33"/>
    </row>
    <row r="723" spans="1:67" ht="15.7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  <c r="AO723" s="33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33"/>
      <c r="BH723" s="33"/>
      <c r="BI723" s="33"/>
      <c r="BJ723" s="33"/>
      <c r="BK723" s="33"/>
      <c r="BL723" s="33"/>
      <c r="BM723" s="33"/>
      <c r="BN723" s="33"/>
      <c r="BO723" s="33"/>
    </row>
    <row r="724" spans="1:67" ht="15.7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  <c r="AO724" s="33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33"/>
      <c r="BH724" s="33"/>
      <c r="BI724" s="33"/>
      <c r="BJ724" s="33"/>
      <c r="BK724" s="33"/>
      <c r="BL724" s="33"/>
      <c r="BM724" s="33"/>
      <c r="BN724" s="33"/>
      <c r="BO724" s="33"/>
    </row>
    <row r="725" spans="1:67" ht="15.7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  <c r="AO725" s="33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33"/>
      <c r="BH725" s="33"/>
      <c r="BI725" s="33"/>
      <c r="BJ725" s="33"/>
      <c r="BK725" s="33"/>
      <c r="BL725" s="33"/>
      <c r="BM725" s="33"/>
      <c r="BN725" s="33"/>
      <c r="BO725" s="33"/>
    </row>
    <row r="726" spans="1:67" ht="15.7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  <c r="AO726" s="33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33"/>
      <c r="BH726" s="33"/>
      <c r="BI726" s="33"/>
      <c r="BJ726" s="33"/>
      <c r="BK726" s="33"/>
      <c r="BL726" s="33"/>
      <c r="BM726" s="33"/>
      <c r="BN726" s="33"/>
      <c r="BO726" s="33"/>
    </row>
    <row r="727" spans="1:67" ht="15.7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  <c r="AO727" s="33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33"/>
      <c r="BH727" s="33"/>
      <c r="BI727" s="33"/>
      <c r="BJ727" s="33"/>
      <c r="BK727" s="33"/>
      <c r="BL727" s="33"/>
      <c r="BM727" s="33"/>
      <c r="BN727" s="33"/>
      <c r="BO727" s="33"/>
    </row>
    <row r="728" spans="1:67" ht="15.7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  <c r="AO728" s="33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33"/>
      <c r="BH728" s="33"/>
      <c r="BI728" s="33"/>
      <c r="BJ728" s="33"/>
      <c r="BK728" s="33"/>
      <c r="BL728" s="33"/>
      <c r="BM728" s="33"/>
      <c r="BN728" s="33"/>
      <c r="BO728" s="33"/>
    </row>
    <row r="729" spans="1:67" ht="15.7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  <c r="AO729" s="33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33"/>
      <c r="BH729" s="33"/>
      <c r="BI729" s="33"/>
      <c r="BJ729" s="33"/>
      <c r="BK729" s="33"/>
      <c r="BL729" s="33"/>
      <c r="BM729" s="33"/>
      <c r="BN729" s="33"/>
      <c r="BO729" s="33"/>
    </row>
    <row r="730" spans="1:67" ht="15.7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  <c r="AO730" s="33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33"/>
      <c r="BH730" s="33"/>
      <c r="BI730" s="33"/>
      <c r="BJ730" s="33"/>
      <c r="BK730" s="33"/>
      <c r="BL730" s="33"/>
      <c r="BM730" s="33"/>
      <c r="BN730" s="33"/>
      <c r="BO730" s="33"/>
    </row>
    <row r="731" spans="1:67" ht="15.7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  <c r="AO731" s="33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33"/>
      <c r="BH731" s="33"/>
      <c r="BI731" s="33"/>
      <c r="BJ731" s="33"/>
      <c r="BK731" s="33"/>
      <c r="BL731" s="33"/>
      <c r="BM731" s="33"/>
      <c r="BN731" s="33"/>
      <c r="BO731" s="33"/>
    </row>
    <row r="732" spans="1:67" ht="15.7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  <c r="AO732" s="33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33"/>
      <c r="BH732" s="33"/>
      <c r="BI732" s="33"/>
      <c r="BJ732" s="33"/>
      <c r="BK732" s="33"/>
      <c r="BL732" s="33"/>
      <c r="BM732" s="33"/>
      <c r="BN732" s="33"/>
      <c r="BO732" s="33"/>
    </row>
    <row r="733" spans="1:67" ht="15.7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  <c r="AO733" s="33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33"/>
      <c r="BH733" s="33"/>
      <c r="BI733" s="33"/>
      <c r="BJ733" s="33"/>
      <c r="BK733" s="33"/>
      <c r="BL733" s="33"/>
      <c r="BM733" s="33"/>
      <c r="BN733" s="33"/>
      <c r="BO733" s="33"/>
    </row>
    <row r="734" spans="1:67" ht="15.7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  <c r="AO734" s="33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33"/>
      <c r="BH734" s="33"/>
      <c r="BI734" s="33"/>
      <c r="BJ734" s="33"/>
      <c r="BK734" s="33"/>
      <c r="BL734" s="33"/>
      <c r="BM734" s="33"/>
      <c r="BN734" s="33"/>
      <c r="BO734" s="33"/>
    </row>
    <row r="735" spans="1:67" ht="15.7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  <c r="AO735" s="33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33"/>
      <c r="BH735" s="33"/>
      <c r="BI735" s="33"/>
      <c r="BJ735" s="33"/>
      <c r="BK735" s="33"/>
      <c r="BL735" s="33"/>
      <c r="BM735" s="33"/>
      <c r="BN735" s="33"/>
      <c r="BO735" s="33"/>
    </row>
    <row r="736" spans="1:67" ht="15.7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  <c r="AO736" s="33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33"/>
      <c r="BH736" s="33"/>
      <c r="BI736" s="33"/>
      <c r="BJ736" s="33"/>
      <c r="BK736" s="33"/>
      <c r="BL736" s="33"/>
      <c r="BM736" s="33"/>
      <c r="BN736" s="33"/>
      <c r="BO736" s="33"/>
    </row>
    <row r="737" spans="1:67" ht="15.7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  <c r="AO737" s="33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33"/>
      <c r="BH737" s="33"/>
      <c r="BI737" s="33"/>
      <c r="BJ737" s="33"/>
      <c r="BK737" s="33"/>
      <c r="BL737" s="33"/>
      <c r="BM737" s="33"/>
      <c r="BN737" s="33"/>
      <c r="BO737" s="33"/>
    </row>
    <row r="738" spans="1:67" ht="15.7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  <c r="AO738" s="33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33"/>
      <c r="BH738" s="33"/>
      <c r="BI738" s="33"/>
      <c r="BJ738" s="33"/>
      <c r="BK738" s="33"/>
      <c r="BL738" s="33"/>
      <c r="BM738" s="33"/>
      <c r="BN738" s="33"/>
      <c r="BO738" s="33"/>
    </row>
    <row r="739" spans="1:67" ht="15.7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  <c r="AO739" s="33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33"/>
      <c r="BH739" s="33"/>
      <c r="BI739" s="33"/>
      <c r="BJ739" s="33"/>
      <c r="BK739" s="33"/>
      <c r="BL739" s="33"/>
      <c r="BM739" s="33"/>
      <c r="BN739" s="33"/>
      <c r="BO739" s="33"/>
    </row>
    <row r="740" spans="1:67" ht="15.7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  <c r="AO740" s="33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33"/>
      <c r="BH740" s="33"/>
      <c r="BI740" s="33"/>
      <c r="BJ740" s="33"/>
      <c r="BK740" s="33"/>
      <c r="BL740" s="33"/>
      <c r="BM740" s="33"/>
      <c r="BN740" s="33"/>
      <c r="BO740" s="33"/>
    </row>
    <row r="741" spans="1:67" ht="15.7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  <c r="AO741" s="33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33"/>
      <c r="BH741" s="33"/>
      <c r="BI741" s="33"/>
      <c r="BJ741" s="33"/>
      <c r="BK741" s="33"/>
      <c r="BL741" s="33"/>
      <c r="BM741" s="33"/>
      <c r="BN741" s="33"/>
      <c r="BO741" s="33"/>
    </row>
    <row r="742" spans="1:67" ht="15.7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  <c r="AO742" s="33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33"/>
      <c r="BH742" s="33"/>
      <c r="BI742" s="33"/>
      <c r="BJ742" s="33"/>
      <c r="BK742" s="33"/>
      <c r="BL742" s="33"/>
      <c r="BM742" s="33"/>
      <c r="BN742" s="33"/>
      <c r="BO742" s="33"/>
    </row>
    <row r="743" spans="1:67" ht="15.7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  <c r="AO743" s="33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33"/>
      <c r="BH743" s="33"/>
      <c r="BI743" s="33"/>
      <c r="BJ743" s="33"/>
      <c r="BK743" s="33"/>
      <c r="BL743" s="33"/>
      <c r="BM743" s="33"/>
      <c r="BN743" s="33"/>
      <c r="BO743" s="33"/>
    </row>
    <row r="744" spans="1:67" ht="15.7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  <c r="AO744" s="33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33"/>
      <c r="BH744" s="33"/>
      <c r="BI744" s="33"/>
      <c r="BJ744" s="33"/>
      <c r="BK744" s="33"/>
      <c r="BL744" s="33"/>
      <c r="BM744" s="33"/>
      <c r="BN744" s="33"/>
      <c r="BO744" s="33"/>
    </row>
    <row r="745" spans="1:67" ht="15.7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  <c r="AO745" s="33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33"/>
      <c r="BH745" s="33"/>
      <c r="BI745" s="33"/>
      <c r="BJ745" s="33"/>
      <c r="BK745" s="33"/>
      <c r="BL745" s="33"/>
      <c r="BM745" s="33"/>
      <c r="BN745" s="33"/>
      <c r="BO745" s="33"/>
    </row>
    <row r="746" spans="1:67" ht="15.7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  <c r="AO746" s="33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33"/>
      <c r="BH746" s="33"/>
      <c r="BI746" s="33"/>
      <c r="BJ746" s="33"/>
      <c r="BK746" s="33"/>
      <c r="BL746" s="33"/>
      <c r="BM746" s="33"/>
      <c r="BN746" s="33"/>
      <c r="BO746" s="33"/>
    </row>
    <row r="747" spans="1:67" ht="15.7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  <c r="AO747" s="33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33"/>
      <c r="BH747" s="33"/>
      <c r="BI747" s="33"/>
      <c r="BJ747" s="33"/>
      <c r="BK747" s="33"/>
      <c r="BL747" s="33"/>
      <c r="BM747" s="33"/>
      <c r="BN747" s="33"/>
      <c r="BO747" s="33"/>
    </row>
    <row r="748" spans="1:67" ht="15.7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  <c r="AO748" s="33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33"/>
      <c r="BH748" s="33"/>
      <c r="BI748" s="33"/>
      <c r="BJ748" s="33"/>
      <c r="BK748" s="33"/>
      <c r="BL748" s="33"/>
      <c r="BM748" s="33"/>
      <c r="BN748" s="33"/>
      <c r="BO748" s="33"/>
    </row>
    <row r="749" spans="1:67" ht="15.7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  <c r="AO749" s="33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33"/>
      <c r="BH749" s="33"/>
      <c r="BI749" s="33"/>
      <c r="BJ749" s="33"/>
      <c r="BK749" s="33"/>
      <c r="BL749" s="33"/>
      <c r="BM749" s="33"/>
      <c r="BN749" s="33"/>
      <c r="BO749" s="33"/>
    </row>
    <row r="750" spans="1:67" ht="15.7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  <c r="AO750" s="33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33"/>
      <c r="BH750" s="33"/>
      <c r="BI750" s="33"/>
      <c r="BJ750" s="33"/>
      <c r="BK750" s="33"/>
      <c r="BL750" s="33"/>
      <c r="BM750" s="33"/>
      <c r="BN750" s="33"/>
      <c r="BO750" s="33"/>
    </row>
    <row r="751" spans="1:67" ht="15.7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  <c r="AO751" s="33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33"/>
      <c r="BH751" s="33"/>
      <c r="BI751" s="33"/>
      <c r="BJ751" s="33"/>
      <c r="BK751" s="33"/>
      <c r="BL751" s="33"/>
      <c r="BM751" s="33"/>
      <c r="BN751" s="33"/>
      <c r="BO751" s="33"/>
    </row>
    <row r="752" spans="1:67" ht="15.7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  <c r="AO752" s="33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33"/>
      <c r="BH752" s="33"/>
      <c r="BI752" s="33"/>
      <c r="BJ752" s="33"/>
      <c r="BK752" s="33"/>
      <c r="BL752" s="33"/>
      <c r="BM752" s="33"/>
      <c r="BN752" s="33"/>
      <c r="BO752" s="33"/>
    </row>
    <row r="753" spans="1:67" ht="15.7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  <c r="AO753" s="33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33"/>
      <c r="BH753" s="33"/>
      <c r="BI753" s="33"/>
      <c r="BJ753" s="33"/>
      <c r="BK753" s="33"/>
      <c r="BL753" s="33"/>
      <c r="BM753" s="33"/>
      <c r="BN753" s="33"/>
      <c r="BO753" s="33"/>
    </row>
    <row r="754" spans="1:67" ht="15.7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  <c r="AO754" s="33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33"/>
      <c r="BH754" s="33"/>
      <c r="BI754" s="33"/>
      <c r="BJ754" s="33"/>
      <c r="BK754" s="33"/>
      <c r="BL754" s="33"/>
      <c r="BM754" s="33"/>
      <c r="BN754" s="33"/>
      <c r="BO754" s="33"/>
    </row>
    <row r="755" spans="1:67" ht="15.7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  <c r="AO755" s="33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33"/>
      <c r="BH755" s="33"/>
      <c r="BI755" s="33"/>
      <c r="BJ755" s="33"/>
      <c r="BK755" s="33"/>
      <c r="BL755" s="33"/>
      <c r="BM755" s="33"/>
      <c r="BN755" s="33"/>
      <c r="BO755" s="33"/>
    </row>
    <row r="756" spans="1:67" ht="15.7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  <c r="AO756" s="33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33"/>
      <c r="BH756" s="33"/>
      <c r="BI756" s="33"/>
      <c r="BJ756" s="33"/>
      <c r="BK756" s="33"/>
      <c r="BL756" s="33"/>
      <c r="BM756" s="33"/>
      <c r="BN756" s="33"/>
      <c r="BO756" s="33"/>
    </row>
    <row r="757" spans="1:67" ht="15.7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  <c r="AO757" s="33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33"/>
      <c r="BH757" s="33"/>
      <c r="BI757" s="33"/>
      <c r="BJ757" s="33"/>
      <c r="BK757" s="33"/>
      <c r="BL757" s="33"/>
      <c r="BM757" s="33"/>
      <c r="BN757" s="33"/>
      <c r="BO757" s="33"/>
    </row>
    <row r="758" spans="1:67" ht="15.7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  <c r="AO758" s="33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33"/>
      <c r="BH758" s="33"/>
      <c r="BI758" s="33"/>
      <c r="BJ758" s="33"/>
      <c r="BK758" s="33"/>
      <c r="BL758" s="33"/>
      <c r="BM758" s="33"/>
      <c r="BN758" s="33"/>
      <c r="BO758" s="33"/>
    </row>
    <row r="759" spans="1:67" ht="15.7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  <c r="AO759" s="33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33"/>
      <c r="BH759" s="33"/>
      <c r="BI759" s="33"/>
      <c r="BJ759" s="33"/>
      <c r="BK759" s="33"/>
      <c r="BL759" s="33"/>
      <c r="BM759" s="33"/>
      <c r="BN759" s="33"/>
      <c r="BO759" s="33"/>
    </row>
    <row r="760" spans="1:67" ht="15.7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  <c r="AO760" s="33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33"/>
      <c r="BH760" s="33"/>
      <c r="BI760" s="33"/>
      <c r="BJ760" s="33"/>
      <c r="BK760" s="33"/>
      <c r="BL760" s="33"/>
      <c r="BM760" s="33"/>
      <c r="BN760" s="33"/>
      <c r="BO760" s="33"/>
    </row>
    <row r="761" spans="1:67" ht="15.7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  <c r="AO761" s="33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33"/>
      <c r="BH761" s="33"/>
      <c r="BI761" s="33"/>
      <c r="BJ761" s="33"/>
      <c r="BK761" s="33"/>
      <c r="BL761" s="33"/>
      <c r="BM761" s="33"/>
      <c r="BN761" s="33"/>
      <c r="BO761" s="33"/>
    </row>
    <row r="762" spans="1:67" ht="15.7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  <c r="AO762" s="33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33"/>
      <c r="BH762" s="33"/>
      <c r="BI762" s="33"/>
      <c r="BJ762" s="33"/>
      <c r="BK762" s="33"/>
      <c r="BL762" s="33"/>
      <c r="BM762" s="33"/>
      <c r="BN762" s="33"/>
      <c r="BO762" s="33"/>
    </row>
    <row r="763" spans="1:67" ht="15.7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  <c r="AO763" s="33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33"/>
      <c r="BH763" s="33"/>
      <c r="BI763" s="33"/>
      <c r="BJ763" s="33"/>
      <c r="BK763" s="33"/>
      <c r="BL763" s="33"/>
      <c r="BM763" s="33"/>
      <c r="BN763" s="33"/>
      <c r="BO763" s="33"/>
    </row>
    <row r="764" spans="1:67" ht="15.7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  <c r="AO764" s="33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33"/>
      <c r="BH764" s="33"/>
      <c r="BI764" s="33"/>
      <c r="BJ764" s="33"/>
      <c r="BK764" s="33"/>
      <c r="BL764" s="33"/>
      <c r="BM764" s="33"/>
      <c r="BN764" s="33"/>
      <c r="BO764" s="33"/>
    </row>
    <row r="765" spans="1:67" ht="15.7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  <c r="AO765" s="33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33"/>
      <c r="BH765" s="33"/>
      <c r="BI765" s="33"/>
      <c r="BJ765" s="33"/>
      <c r="BK765" s="33"/>
      <c r="BL765" s="33"/>
      <c r="BM765" s="33"/>
      <c r="BN765" s="33"/>
      <c r="BO765" s="33"/>
    </row>
    <row r="766" spans="1:67" ht="15.7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  <c r="AO766" s="33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33"/>
      <c r="BH766" s="33"/>
      <c r="BI766" s="33"/>
      <c r="BJ766" s="33"/>
      <c r="BK766" s="33"/>
      <c r="BL766" s="33"/>
      <c r="BM766" s="33"/>
      <c r="BN766" s="33"/>
      <c r="BO766" s="33"/>
    </row>
    <row r="767" spans="1:67" ht="15.7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  <c r="AO767" s="33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33"/>
      <c r="BH767" s="33"/>
      <c r="BI767" s="33"/>
      <c r="BJ767" s="33"/>
      <c r="BK767" s="33"/>
      <c r="BL767" s="33"/>
      <c r="BM767" s="33"/>
      <c r="BN767" s="33"/>
      <c r="BO767" s="33"/>
    </row>
    <row r="768" spans="1:67" ht="15.7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  <c r="AO768" s="33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33"/>
      <c r="BH768" s="33"/>
      <c r="BI768" s="33"/>
      <c r="BJ768" s="33"/>
      <c r="BK768" s="33"/>
      <c r="BL768" s="33"/>
      <c r="BM768" s="33"/>
      <c r="BN768" s="33"/>
      <c r="BO768" s="33"/>
    </row>
    <row r="769" spans="1:67" ht="15.7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  <c r="AO769" s="33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33"/>
      <c r="BH769" s="33"/>
      <c r="BI769" s="33"/>
      <c r="BJ769" s="33"/>
      <c r="BK769" s="33"/>
      <c r="BL769" s="33"/>
      <c r="BM769" s="33"/>
      <c r="BN769" s="33"/>
      <c r="BO769" s="33"/>
    </row>
    <row r="770" spans="1:67" ht="15.7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  <c r="AO770" s="33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33"/>
      <c r="BH770" s="33"/>
      <c r="BI770" s="33"/>
      <c r="BJ770" s="33"/>
      <c r="BK770" s="33"/>
      <c r="BL770" s="33"/>
      <c r="BM770" s="33"/>
      <c r="BN770" s="33"/>
      <c r="BO770" s="33"/>
    </row>
    <row r="771" spans="1:67" ht="15.7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  <c r="AO771" s="33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33"/>
      <c r="BH771" s="33"/>
      <c r="BI771" s="33"/>
      <c r="BJ771" s="33"/>
      <c r="BK771" s="33"/>
      <c r="BL771" s="33"/>
      <c r="BM771" s="33"/>
      <c r="BN771" s="33"/>
      <c r="BO771" s="33"/>
    </row>
    <row r="772" spans="1:67" ht="15.7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  <c r="AO772" s="33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33"/>
      <c r="BH772" s="33"/>
      <c r="BI772" s="33"/>
      <c r="BJ772" s="33"/>
      <c r="BK772" s="33"/>
      <c r="BL772" s="33"/>
      <c r="BM772" s="33"/>
      <c r="BN772" s="33"/>
      <c r="BO772" s="33"/>
    </row>
    <row r="773" spans="1:67" ht="15.7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  <c r="AO773" s="33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33"/>
      <c r="BH773" s="33"/>
      <c r="BI773" s="33"/>
      <c r="BJ773" s="33"/>
      <c r="BK773" s="33"/>
      <c r="BL773" s="33"/>
      <c r="BM773" s="33"/>
      <c r="BN773" s="33"/>
      <c r="BO773" s="33"/>
    </row>
    <row r="774" spans="1:67" ht="15.7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  <c r="AO774" s="33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33"/>
      <c r="BH774" s="33"/>
      <c r="BI774" s="33"/>
      <c r="BJ774" s="33"/>
      <c r="BK774" s="33"/>
      <c r="BL774" s="33"/>
      <c r="BM774" s="33"/>
      <c r="BN774" s="33"/>
      <c r="BO774" s="33"/>
    </row>
    <row r="775" spans="1:67" ht="15.7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  <c r="AO775" s="33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33"/>
      <c r="BH775" s="33"/>
      <c r="BI775" s="33"/>
      <c r="BJ775" s="33"/>
      <c r="BK775" s="33"/>
      <c r="BL775" s="33"/>
      <c r="BM775" s="33"/>
      <c r="BN775" s="33"/>
      <c r="BO775" s="33"/>
    </row>
    <row r="776" spans="1:67" ht="15.7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  <c r="AO776" s="33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33"/>
      <c r="BH776" s="33"/>
      <c r="BI776" s="33"/>
      <c r="BJ776" s="33"/>
      <c r="BK776" s="33"/>
      <c r="BL776" s="33"/>
      <c r="BM776" s="33"/>
      <c r="BN776" s="33"/>
      <c r="BO776" s="33"/>
    </row>
    <row r="777" spans="1:67" ht="15.7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  <c r="AO777" s="33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33"/>
      <c r="BH777" s="33"/>
      <c r="BI777" s="33"/>
      <c r="BJ777" s="33"/>
      <c r="BK777" s="33"/>
      <c r="BL777" s="33"/>
      <c r="BM777" s="33"/>
      <c r="BN777" s="33"/>
      <c r="BO777" s="33"/>
    </row>
    <row r="778" spans="1:67" ht="15.7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  <c r="AO778" s="33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33"/>
      <c r="BH778" s="33"/>
      <c r="BI778" s="33"/>
      <c r="BJ778" s="33"/>
      <c r="BK778" s="33"/>
      <c r="BL778" s="33"/>
      <c r="BM778" s="33"/>
      <c r="BN778" s="33"/>
      <c r="BO778" s="33"/>
    </row>
    <row r="779" spans="1:67" ht="15.7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  <c r="AO779" s="33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33"/>
      <c r="BH779" s="33"/>
      <c r="BI779" s="33"/>
      <c r="BJ779" s="33"/>
      <c r="BK779" s="33"/>
      <c r="BL779" s="33"/>
      <c r="BM779" s="33"/>
      <c r="BN779" s="33"/>
      <c r="BO779" s="33"/>
    </row>
    <row r="780" spans="1:67" ht="15.7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  <c r="AO780" s="33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33"/>
      <c r="BH780" s="33"/>
      <c r="BI780" s="33"/>
      <c r="BJ780" s="33"/>
      <c r="BK780" s="33"/>
      <c r="BL780" s="33"/>
      <c r="BM780" s="33"/>
      <c r="BN780" s="33"/>
      <c r="BO780" s="33"/>
    </row>
    <row r="781" spans="1:67" ht="15.7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  <c r="AO781" s="33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33"/>
      <c r="BH781" s="33"/>
      <c r="BI781" s="33"/>
      <c r="BJ781" s="33"/>
      <c r="BK781" s="33"/>
      <c r="BL781" s="33"/>
      <c r="BM781" s="33"/>
      <c r="BN781" s="33"/>
      <c r="BO781" s="33"/>
    </row>
    <row r="782" spans="1:67" ht="15.7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  <c r="AO782" s="33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33"/>
      <c r="BH782" s="33"/>
      <c r="BI782" s="33"/>
      <c r="BJ782" s="33"/>
      <c r="BK782" s="33"/>
      <c r="BL782" s="33"/>
      <c r="BM782" s="33"/>
      <c r="BN782" s="33"/>
      <c r="BO782" s="33"/>
    </row>
    <row r="783" spans="1:67" ht="15.7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  <c r="AO783" s="33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33"/>
      <c r="BH783" s="33"/>
      <c r="BI783" s="33"/>
      <c r="BJ783" s="33"/>
      <c r="BK783" s="33"/>
      <c r="BL783" s="33"/>
      <c r="BM783" s="33"/>
      <c r="BN783" s="33"/>
      <c r="BO783" s="33"/>
    </row>
    <row r="784" spans="1:67" ht="15.7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  <c r="AO784" s="33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33"/>
      <c r="BH784" s="33"/>
      <c r="BI784" s="33"/>
      <c r="BJ784" s="33"/>
      <c r="BK784" s="33"/>
      <c r="BL784" s="33"/>
      <c r="BM784" s="33"/>
      <c r="BN784" s="33"/>
      <c r="BO784" s="33"/>
    </row>
    <row r="785" spans="1:67" ht="15.7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  <c r="AO785" s="33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33"/>
      <c r="BH785" s="33"/>
      <c r="BI785" s="33"/>
      <c r="BJ785" s="33"/>
      <c r="BK785" s="33"/>
      <c r="BL785" s="33"/>
      <c r="BM785" s="33"/>
      <c r="BN785" s="33"/>
      <c r="BO785" s="33"/>
    </row>
    <row r="786" spans="1:67" ht="15.7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  <c r="AO786" s="33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33"/>
      <c r="BH786" s="33"/>
      <c r="BI786" s="33"/>
      <c r="BJ786" s="33"/>
      <c r="BK786" s="33"/>
      <c r="BL786" s="33"/>
      <c r="BM786" s="33"/>
      <c r="BN786" s="33"/>
      <c r="BO786" s="33"/>
    </row>
    <row r="787" spans="1:67" ht="15.7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  <c r="AO787" s="33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33"/>
      <c r="BH787" s="33"/>
      <c r="BI787" s="33"/>
      <c r="BJ787" s="33"/>
      <c r="BK787" s="33"/>
      <c r="BL787" s="33"/>
      <c r="BM787" s="33"/>
      <c r="BN787" s="33"/>
      <c r="BO787" s="33"/>
    </row>
    <row r="788" spans="1:67" ht="15.7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  <c r="AO788" s="33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33"/>
      <c r="BH788" s="33"/>
      <c r="BI788" s="33"/>
      <c r="BJ788" s="33"/>
      <c r="BK788" s="33"/>
      <c r="BL788" s="33"/>
      <c r="BM788" s="33"/>
      <c r="BN788" s="33"/>
      <c r="BO788" s="33"/>
    </row>
    <row r="789" spans="1:67" ht="15.7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  <c r="AO789" s="33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33"/>
      <c r="BH789" s="33"/>
      <c r="BI789" s="33"/>
      <c r="BJ789" s="33"/>
      <c r="BK789" s="33"/>
      <c r="BL789" s="33"/>
      <c r="BM789" s="33"/>
      <c r="BN789" s="33"/>
      <c r="BO789" s="33"/>
    </row>
    <row r="790" spans="1:67" ht="15.7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  <c r="AO790" s="33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33"/>
      <c r="BH790" s="33"/>
      <c r="BI790" s="33"/>
      <c r="BJ790" s="33"/>
      <c r="BK790" s="33"/>
      <c r="BL790" s="33"/>
      <c r="BM790" s="33"/>
      <c r="BN790" s="33"/>
      <c r="BO790" s="33"/>
    </row>
    <row r="791" spans="1:67" ht="15.7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  <c r="AO791" s="33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33"/>
      <c r="BH791" s="33"/>
      <c r="BI791" s="33"/>
      <c r="BJ791" s="33"/>
      <c r="BK791" s="33"/>
      <c r="BL791" s="33"/>
      <c r="BM791" s="33"/>
      <c r="BN791" s="33"/>
      <c r="BO791" s="33"/>
    </row>
    <row r="792" spans="1:67" ht="15.7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  <c r="AO792" s="33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33"/>
      <c r="BH792" s="33"/>
      <c r="BI792" s="33"/>
      <c r="BJ792" s="33"/>
      <c r="BK792" s="33"/>
      <c r="BL792" s="33"/>
      <c r="BM792" s="33"/>
      <c r="BN792" s="33"/>
      <c r="BO792" s="33"/>
    </row>
    <row r="793" spans="1:67" ht="15.7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  <c r="AO793" s="33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33"/>
      <c r="BH793" s="33"/>
      <c r="BI793" s="33"/>
      <c r="BJ793" s="33"/>
      <c r="BK793" s="33"/>
      <c r="BL793" s="33"/>
      <c r="BM793" s="33"/>
      <c r="BN793" s="33"/>
      <c r="BO793" s="33"/>
    </row>
    <row r="794" spans="1:67" ht="15.7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  <c r="AO794" s="33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33"/>
      <c r="BH794" s="33"/>
      <c r="BI794" s="33"/>
      <c r="BJ794" s="33"/>
      <c r="BK794" s="33"/>
      <c r="BL794" s="33"/>
      <c r="BM794" s="33"/>
      <c r="BN794" s="33"/>
      <c r="BO794" s="33"/>
    </row>
    <row r="795" spans="1:67" ht="15.7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  <c r="AO795" s="33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33"/>
      <c r="BH795" s="33"/>
      <c r="BI795" s="33"/>
      <c r="BJ795" s="33"/>
      <c r="BK795" s="33"/>
      <c r="BL795" s="33"/>
      <c r="BM795" s="33"/>
      <c r="BN795" s="33"/>
      <c r="BO795" s="33"/>
    </row>
    <row r="796" spans="1:67" ht="15.7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  <c r="AO796" s="33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33"/>
      <c r="BH796" s="33"/>
      <c r="BI796" s="33"/>
      <c r="BJ796" s="33"/>
      <c r="BK796" s="33"/>
      <c r="BL796" s="33"/>
      <c r="BM796" s="33"/>
      <c r="BN796" s="33"/>
      <c r="BO796" s="33"/>
    </row>
    <row r="797" spans="1:67" ht="15.7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  <c r="AO797" s="33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33"/>
      <c r="BH797" s="33"/>
      <c r="BI797" s="33"/>
      <c r="BJ797" s="33"/>
      <c r="BK797" s="33"/>
      <c r="BL797" s="33"/>
      <c r="BM797" s="33"/>
      <c r="BN797" s="33"/>
      <c r="BO797" s="33"/>
    </row>
    <row r="798" spans="1:67" ht="15.7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  <c r="AO798" s="33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33"/>
      <c r="BH798" s="33"/>
      <c r="BI798" s="33"/>
      <c r="BJ798" s="33"/>
      <c r="BK798" s="33"/>
      <c r="BL798" s="33"/>
      <c r="BM798" s="33"/>
      <c r="BN798" s="33"/>
      <c r="BO798" s="33"/>
    </row>
    <row r="799" spans="1:67" ht="15.7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  <c r="AO799" s="33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33"/>
      <c r="BH799" s="33"/>
      <c r="BI799" s="33"/>
      <c r="BJ799" s="33"/>
      <c r="BK799" s="33"/>
      <c r="BL799" s="33"/>
      <c r="BM799" s="33"/>
      <c r="BN799" s="33"/>
      <c r="BO799" s="33"/>
    </row>
    <row r="800" spans="1:67" ht="15.7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  <c r="AO800" s="33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33"/>
      <c r="BH800" s="33"/>
      <c r="BI800" s="33"/>
      <c r="BJ800" s="33"/>
      <c r="BK800" s="33"/>
      <c r="BL800" s="33"/>
      <c r="BM800" s="33"/>
      <c r="BN800" s="33"/>
      <c r="BO800" s="33"/>
    </row>
    <row r="801" spans="1:67" ht="15.7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  <c r="AO801" s="33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33"/>
      <c r="BH801" s="33"/>
      <c r="BI801" s="33"/>
      <c r="BJ801" s="33"/>
      <c r="BK801" s="33"/>
      <c r="BL801" s="33"/>
      <c r="BM801" s="33"/>
      <c r="BN801" s="33"/>
      <c r="BO801" s="33"/>
    </row>
    <row r="802" spans="1:67" ht="15.7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  <c r="AO802" s="33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33"/>
      <c r="BH802" s="33"/>
      <c r="BI802" s="33"/>
      <c r="BJ802" s="33"/>
      <c r="BK802" s="33"/>
      <c r="BL802" s="33"/>
      <c r="BM802" s="33"/>
      <c r="BN802" s="33"/>
      <c r="BO802" s="33"/>
    </row>
    <row r="803" spans="1:67" ht="15.7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  <c r="AO803" s="33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33"/>
      <c r="BH803" s="33"/>
      <c r="BI803" s="33"/>
      <c r="BJ803" s="33"/>
      <c r="BK803" s="33"/>
      <c r="BL803" s="33"/>
      <c r="BM803" s="33"/>
      <c r="BN803" s="33"/>
      <c r="BO803" s="33"/>
    </row>
    <row r="804" spans="1:67" ht="15.7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  <c r="AO804" s="33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33"/>
      <c r="BH804" s="33"/>
      <c r="BI804" s="33"/>
      <c r="BJ804" s="33"/>
      <c r="BK804" s="33"/>
      <c r="BL804" s="33"/>
      <c r="BM804" s="33"/>
      <c r="BN804" s="33"/>
      <c r="BO804" s="33"/>
    </row>
    <row r="805" spans="1:67" ht="15.7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  <c r="AO805" s="33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33"/>
      <c r="BH805" s="33"/>
      <c r="BI805" s="33"/>
      <c r="BJ805" s="33"/>
      <c r="BK805" s="33"/>
      <c r="BL805" s="33"/>
      <c r="BM805" s="33"/>
      <c r="BN805" s="33"/>
      <c r="BO805" s="33"/>
    </row>
    <row r="806" spans="1:67" ht="15.7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  <c r="AO806" s="33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33"/>
      <c r="BH806" s="33"/>
      <c r="BI806" s="33"/>
      <c r="BJ806" s="33"/>
      <c r="BK806" s="33"/>
      <c r="BL806" s="33"/>
      <c r="BM806" s="33"/>
      <c r="BN806" s="33"/>
      <c r="BO806" s="33"/>
    </row>
    <row r="807" spans="1:67" ht="15.7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  <c r="AO807" s="33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33"/>
      <c r="BH807" s="33"/>
      <c r="BI807" s="33"/>
      <c r="BJ807" s="33"/>
      <c r="BK807" s="33"/>
      <c r="BL807" s="33"/>
      <c r="BM807" s="33"/>
      <c r="BN807" s="33"/>
      <c r="BO807" s="33"/>
    </row>
    <row r="808" spans="1:67" ht="15.7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  <c r="AO808" s="33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33"/>
      <c r="BH808" s="33"/>
      <c r="BI808" s="33"/>
      <c r="BJ808" s="33"/>
      <c r="BK808" s="33"/>
      <c r="BL808" s="33"/>
      <c r="BM808" s="33"/>
      <c r="BN808" s="33"/>
      <c r="BO808" s="33"/>
    </row>
    <row r="809" spans="1:67" ht="15.7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  <c r="AO809" s="33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33"/>
      <c r="BH809" s="33"/>
      <c r="BI809" s="33"/>
      <c r="BJ809" s="33"/>
      <c r="BK809" s="33"/>
      <c r="BL809" s="33"/>
      <c r="BM809" s="33"/>
      <c r="BN809" s="33"/>
      <c r="BO809" s="33"/>
    </row>
    <row r="810" spans="1:67" ht="15.7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  <c r="AO810" s="33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33"/>
      <c r="BH810" s="33"/>
      <c r="BI810" s="33"/>
      <c r="BJ810" s="33"/>
      <c r="BK810" s="33"/>
      <c r="BL810" s="33"/>
      <c r="BM810" s="33"/>
      <c r="BN810" s="33"/>
      <c r="BO810" s="33"/>
    </row>
    <row r="811" spans="1:67" ht="15.7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  <c r="AO811" s="33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33"/>
      <c r="BH811" s="33"/>
      <c r="BI811" s="33"/>
      <c r="BJ811" s="33"/>
      <c r="BK811" s="33"/>
      <c r="BL811" s="33"/>
      <c r="BM811" s="33"/>
      <c r="BN811" s="33"/>
      <c r="BO811" s="33"/>
    </row>
    <row r="812" spans="1:67" ht="15.7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  <c r="AO812" s="33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33"/>
      <c r="BH812" s="33"/>
      <c r="BI812" s="33"/>
      <c r="BJ812" s="33"/>
      <c r="BK812" s="33"/>
      <c r="BL812" s="33"/>
      <c r="BM812" s="33"/>
      <c r="BN812" s="33"/>
      <c r="BO812" s="33"/>
    </row>
    <row r="813" spans="1:67" ht="15.7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  <c r="AO813" s="33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33"/>
      <c r="BH813" s="33"/>
      <c r="BI813" s="33"/>
      <c r="BJ813" s="33"/>
      <c r="BK813" s="33"/>
      <c r="BL813" s="33"/>
      <c r="BM813" s="33"/>
      <c r="BN813" s="33"/>
      <c r="BO813" s="33"/>
    </row>
    <row r="814" spans="1:67" ht="15.7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  <c r="AO814" s="33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33"/>
      <c r="BH814" s="33"/>
      <c r="BI814" s="33"/>
      <c r="BJ814" s="33"/>
      <c r="BK814" s="33"/>
      <c r="BL814" s="33"/>
      <c r="BM814" s="33"/>
      <c r="BN814" s="33"/>
      <c r="BO814" s="33"/>
    </row>
    <row r="815" spans="1:67" ht="15.7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  <c r="AO815" s="33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33"/>
      <c r="BH815" s="33"/>
      <c r="BI815" s="33"/>
      <c r="BJ815" s="33"/>
      <c r="BK815" s="33"/>
      <c r="BL815" s="33"/>
      <c r="BM815" s="33"/>
      <c r="BN815" s="33"/>
      <c r="BO815" s="33"/>
    </row>
    <row r="816" spans="1:67" ht="15.7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  <c r="AO816" s="33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33"/>
      <c r="BH816" s="33"/>
      <c r="BI816" s="33"/>
      <c r="BJ816" s="33"/>
      <c r="BK816" s="33"/>
      <c r="BL816" s="33"/>
      <c r="BM816" s="33"/>
      <c r="BN816" s="33"/>
      <c r="BO816" s="33"/>
    </row>
    <row r="817" spans="1:67" ht="15.7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  <c r="AO817" s="33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33"/>
      <c r="BH817" s="33"/>
      <c r="BI817" s="33"/>
      <c r="BJ817" s="33"/>
      <c r="BK817" s="33"/>
      <c r="BL817" s="33"/>
      <c r="BM817" s="33"/>
      <c r="BN817" s="33"/>
      <c r="BO817" s="33"/>
    </row>
    <row r="818" spans="1:67" ht="15.7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  <c r="AO818" s="33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33"/>
      <c r="BH818" s="33"/>
      <c r="BI818" s="33"/>
      <c r="BJ818" s="33"/>
      <c r="BK818" s="33"/>
      <c r="BL818" s="33"/>
      <c r="BM818" s="33"/>
      <c r="BN818" s="33"/>
      <c r="BO818" s="33"/>
    </row>
    <row r="819" spans="1:67" ht="15.7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  <c r="AO819" s="33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33"/>
      <c r="BH819" s="33"/>
      <c r="BI819" s="33"/>
      <c r="BJ819" s="33"/>
      <c r="BK819" s="33"/>
      <c r="BL819" s="33"/>
      <c r="BM819" s="33"/>
      <c r="BN819" s="33"/>
      <c r="BO819" s="33"/>
    </row>
    <row r="820" spans="1:67" ht="15.7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  <c r="AO820" s="33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33"/>
      <c r="BH820" s="33"/>
      <c r="BI820" s="33"/>
      <c r="BJ820" s="33"/>
      <c r="BK820" s="33"/>
      <c r="BL820" s="33"/>
      <c r="BM820" s="33"/>
      <c r="BN820" s="33"/>
      <c r="BO820" s="33"/>
    </row>
    <row r="821" spans="1:67" ht="15.7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  <c r="AO821" s="33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33"/>
      <c r="BH821" s="33"/>
      <c r="BI821" s="33"/>
      <c r="BJ821" s="33"/>
      <c r="BK821" s="33"/>
      <c r="BL821" s="33"/>
      <c r="BM821" s="33"/>
      <c r="BN821" s="33"/>
      <c r="BO821" s="33"/>
    </row>
    <row r="822" spans="1:67" ht="15.7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  <c r="AO822" s="33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33"/>
      <c r="BH822" s="33"/>
      <c r="BI822" s="33"/>
      <c r="BJ822" s="33"/>
      <c r="BK822" s="33"/>
      <c r="BL822" s="33"/>
      <c r="BM822" s="33"/>
      <c r="BN822" s="33"/>
      <c r="BO822" s="33"/>
    </row>
    <row r="823" spans="1:67" ht="15.7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  <c r="AO823" s="33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33"/>
      <c r="BH823" s="33"/>
      <c r="BI823" s="33"/>
      <c r="BJ823" s="33"/>
      <c r="BK823" s="33"/>
      <c r="BL823" s="33"/>
      <c r="BM823" s="33"/>
      <c r="BN823" s="33"/>
      <c r="BO823" s="33"/>
    </row>
    <row r="824" spans="1:67" ht="15.7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  <c r="AO824" s="33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33"/>
      <c r="BH824" s="33"/>
      <c r="BI824" s="33"/>
      <c r="BJ824" s="33"/>
      <c r="BK824" s="33"/>
      <c r="BL824" s="33"/>
      <c r="BM824" s="33"/>
      <c r="BN824" s="33"/>
      <c r="BO824" s="33"/>
    </row>
    <row r="825" spans="1:67" ht="15.7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  <c r="AO825" s="33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33"/>
      <c r="BH825" s="33"/>
      <c r="BI825" s="33"/>
      <c r="BJ825" s="33"/>
      <c r="BK825" s="33"/>
      <c r="BL825" s="33"/>
      <c r="BM825" s="33"/>
      <c r="BN825" s="33"/>
      <c r="BO825" s="33"/>
    </row>
    <row r="826" spans="1:67" ht="15.7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  <c r="AO826" s="33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33"/>
      <c r="BH826" s="33"/>
      <c r="BI826" s="33"/>
      <c r="BJ826" s="33"/>
      <c r="BK826" s="33"/>
      <c r="BL826" s="33"/>
      <c r="BM826" s="33"/>
      <c r="BN826" s="33"/>
      <c r="BO826" s="33"/>
    </row>
    <row r="827" spans="1:67" ht="15.7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  <c r="AO827" s="33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33"/>
      <c r="BH827" s="33"/>
      <c r="BI827" s="33"/>
      <c r="BJ827" s="33"/>
      <c r="BK827" s="33"/>
      <c r="BL827" s="33"/>
      <c r="BM827" s="33"/>
      <c r="BN827" s="33"/>
      <c r="BO827" s="33"/>
    </row>
    <row r="828" spans="1:67" ht="15.7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  <c r="AO828" s="33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33"/>
      <c r="BH828" s="33"/>
      <c r="BI828" s="33"/>
      <c r="BJ828" s="33"/>
      <c r="BK828" s="33"/>
      <c r="BL828" s="33"/>
      <c r="BM828" s="33"/>
      <c r="BN828" s="33"/>
      <c r="BO828" s="33"/>
    </row>
    <row r="829" spans="1:67" ht="15.7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  <c r="AO829" s="33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33"/>
      <c r="BH829" s="33"/>
      <c r="BI829" s="33"/>
      <c r="BJ829" s="33"/>
      <c r="BK829" s="33"/>
      <c r="BL829" s="33"/>
      <c r="BM829" s="33"/>
      <c r="BN829" s="33"/>
      <c r="BO829" s="33"/>
    </row>
    <row r="830" spans="1:67" ht="15.7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  <c r="AO830" s="33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33"/>
      <c r="BH830" s="33"/>
      <c r="BI830" s="33"/>
      <c r="BJ830" s="33"/>
      <c r="BK830" s="33"/>
      <c r="BL830" s="33"/>
      <c r="BM830" s="33"/>
      <c r="BN830" s="33"/>
      <c r="BO830" s="33"/>
    </row>
    <row r="831" spans="1:67" ht="15.7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  <c r="AO831" s="33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33"/>
      <c r="BH831" s="33"/>
      <c r="BI831" s="33"/>
      <c r="BJ831" s="33"/>
      <c r="BK831" s="33"/>
      <c r="BL831" s="33"/>
      <c r="BM831" s="33"/>
      <c r="BN831" s="33"/>
      <c r="BO831" s="33"/>
    </row>
    <row r="832" spans="1:67" ht="15.7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  <c r="AO832" s="33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33"/>
      <c r="BH832" s="33"/>
      <c r="BI832" s="33"/>
      <c r="BJ832" s="33"/>
      <c r="BK832" s="33"/>
      <c r="BL832" s="33"/>
      <c r="BM832" s="33"/>
      <c r="BN832" s="33"/>
      <c r="BO832" s="33"/>
    </row>
    <row r="833" spans="1:67" ht="15.7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  <c r="AO833" s="33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33"/>
      <c r="BH833" s="33"/>
      <c r="BI833" s="33"/>
      <c r="BJ833" s="33"/>
      <c r="BK833" s="33"/>
      <c r="BL833" s="33"/>
      <c r="BM833" s="33"/>
      <c r="BN833" s="33"/>
      <c r="BO833" s="33"/>
    </row>
    <row r="834" spans="1:67" ht="15.7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  <c r="AO834" s="33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33"/>
      <c r="BH834" s="33"/>
      <c r="BI834" s="33"/>
      <c r="BJ834" s="33"/>
      <c r="BK834" s="33"/>
      <c r="BL834" s="33"/>
      <c r="BM834" s="33"/>
      <c r="BN834" s="33"/>
      <c r="BO834" s="33"/>
    </row>
    <row r="835" spans="1:67" ht="15.7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  <c r="AO835" s="33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33"/>
      <c r="BH835" s="33"/>
      <c r="BI835" s="33"/>
      <c r="BJ835" s="33"/>
      <c r="BK835" s="33"/>
      <c r="BL835" s="33"/>
      <c r="BM835" s="33"/>
      <c r="BN835" s="33"/>
      <c r="BO835" s="33"/>
    </row>
    <row r="836" spans="1:67" ht="15.7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  <c r="AO836" s="33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33"/>
      <c r="BH836" s="33"/>
      <c r="BI836" s="33"/>
      <c r="BJ836" s="33"/>
      <c r="BK836" s="33"/>
      <c r="BL836" s="33"/>
      <c r="BM836" s="33"/>
      <c r="BN836" s="33"/>
      <c r="BO836" s="33"/>
    </row>
    <row r="837" spans="1:67" ht="15.7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  <c r="AO837" s="33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33"/>
      <c r="BH837" s="33"/>
      <c r="BI837" s="33"/>
      <c r="BJ837" s="33"/>
      <c r="BK837" s="33"/>
      <c r="BL837" s="33"/>
      <c r="BM837" s="33"/>
      <c r="BN837" s="33"/>
      <c r="BO837" s="33"/>
    </row>
    <row r="838" spans="1:67" ht="15.7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  <c r="AO838" s="33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33"/>
      <c r="BH838" s="33"/>
      <c r="BI838" s="33"/>
      <c r="BJ838" s="33"/>
      <c r="BK838" s="33"/>
      <c r="BL838" s="33"/>
      <c r="BM838" s="33"/>
      <c r="BN838" s="33"/>
      <c r="BO838" s="33"/>
    </row>
    <row r="839" spans="1:67" ht="15.7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  <c r="AO839" s="33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33"/>
      <c r="BH839" s="33"/>
      <c r="BI839" s="33"/>
      <c r="BJ839" s="33"/>
      <c r="BK839" s="33"/>
      <c r="BL839" s="33"/>
      <c r="BM839" s="33"/>
      <c r="BN839" s="33"/>
      <c r="BO839" s="33"/>
    </row>
    <row r="840" spans="1:67" ht="15.7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  <c r="AO840" s="33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33"/>
      <c r="BH840" s="33"/>
      <c r="BI840" s="33"/>
      <c r="BJ840" s="33"/>
      <c r="BK840" s="33"/>
      <c r="BL840" s="33"/>
      <c r="BM840" s="33"/>
      <c r="BN840" s="33"/>
      <c r="BO840" s="33"/>
    </row>
    <row r="841" spans="1:67" ht="15.7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  <c r="AO841" s="33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33"/>
      <c r="BH841" s="33"/>
      <c r="BI841" s="33"/>
      <c r="BJ841" s="33"/>
      <c r="BK841" s="33"/>
      <c r="BL841" s="33"/>
      <c r="BM841" s="33"/>
      <c r="BN841" s="33"/>
      <c r="BO841" s="33"/>
    </row>
    <row r="842" spans="1:67" ht="15.7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  <c r="AO842" s="33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33"/>
      <c r="BH842" s="33"/>
      <c r="BI842" s="33"/>
      <c r="BJ842" s="33"/>
      <c r="BK842" s="33"/>
      <c r="BL842" s="33"/>
      <c r="BM842" s="33"/>
      <c r="BN842" s="33"/>
      <c r="BO842" s="33"/>
    </row>
    <row r="843" spans="1:67" ht="15.7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  <c r="AO843" s="33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33"/>
      <c r="BH843" s="33"/>
      <c r="BI843" s="33"/>
      <c r="BJ843" s="33"/>
      <c r="BK843" s="33"/>
      <c r="BL843" s="33"/>
      <c r="BM843" s="33"/>
      <c r="BN843" s="33"/>
      <c r="BO843" s="33"/>
    </row>
    <row r="844" spans="1:67" ht="15.7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  <c r="AO844" s="33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33"/>
      <c r="BH844" s="33"/>
      <c r="BI844" s="33"/>
      <c r="BJ844" s="33"/>
      <c r="BK844" s="33"/>
      <c r="BL844" s="33"/>
      <c r="BM844" s="33"/>
      <c r="BN844" s="33"/>
      <c r="BO844" s="33"/>
    </row>
    <row r="845" spans="1:67" ht="15.7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  <c r="AO845" s="33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33"/>
      <c r="BH845" s="33"/>
      <c r="BI845" s="33"/>
      <c r="BJ845" s="33"/>
      <c r="BK845" s="33"/>
      <c r="BL845" s="33"/>
      <c r="BM845" s="33"/>
      <c r="BN845" s="33"/>
      <c r="BO845" s="33"/>
    </row>
    <row r="846" spans="1:67" ht="15.7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  <c r="AO846" s="33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33"/>
      <c r="BH846" s="33"/>
      <c r="BI846" s="33"/>
      <c r="BJ846" s="33"/>
      <c r="BK846" s="33"/>
      <c r="BL846" s="33"/>
      <c r="BM846" s="33"/>
      <c r="BN846" s="33"/>
      <c r="BO846" s="33"/>
    </row>
    <row r="847" spans="1:67" ht="15.7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  <c r="AO847" s="33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33"/>
      <c r="BH847" s="33"/>
      <c r="BI847" s="33"/>
      <c r="BJ847" s="33"/>
      <c r="BK847" s="33"/>
      <c r="BL847" s="33"/>
      <c r="BM847" s="33"/>
      <c r="BN847" s="33"/>
      <c r="BO847" s="33"/>
    </row>
    <row r="848" spans="1:67" ht="15.7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  <c r="AO848" s="33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33"/>
      <c r="BH848" s="33"/>
      <c r="BI848" s="33"/>
      <c r="BJ848" s="33"/>
      <c r="BK848" s="33"/>
      <c r="BL848" s="33"/>
      <c r="BM848" s="33"/>
      <c r="BN848" s="33"/>
      <c r="BO848" s="33"/>
    </row>
    <row r="849" spans="1:67" ht="15.7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  <c r="AO849" s="33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33"/>
      <c r="BH849" s="33"/>
      <c r="BI849" s="33"/>
      <c r="BJ849" s="33"/>
      <c r="BK849" s="33"/>
      <c r="BL849" s="33"/>
      <c r="BM849" s="33"/>
      <c r="BN849" s="33"/>
      <c r="BO849" s="33"/>
    </row>
    <row r="850" spans="1:67" ht="15.7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  <c r="AO850" s="33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33"/>
      <c r="BH850" s="33"/>
      <c r="BI850" s="33"/>
      <c r="BJ850" s="33"/>
      <c r="BK850" s="33"/>
      <c r="BL850" s="33"/>
      <c r="BM850" s="33"/>
      <c r="BN850" s="33"/>
      <c r="BO850" s="33"/>
    </row>
    <row r="851" spans="1:67" ht="15.7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  <c r="AO851" s="33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33"/>
      <c r="BH851" s="33"/>
      <c r="BI851" s="33"/>
      <c r="BJ851" s="33"/>
      <c r="BK851" s="33"/>
      <c r="BL851" s="33"/>
      <c r="BM851" s="33"/>
      <c r="BN851" s="33"/>
      <c r="BO851" s="33"/>
    </row>
    <row r="852" spans="1:67" ht="15.7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  <c r="AO852" s="33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33"/>
      <c r="BH852" s="33"/>
      <c r="BI852" s="33"/>
      <c r="BJ852" s="33"/>
      <c r="BK852" s="33"/>
      <c r="BL852" s="33"/>
      <c r="BM852" s="33"/>
      <c r="BN852" s="33"/>
      <c r="BO852" s="33"/>
    </row>
    <row r="853" spans="1:67" ht="15.7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  <c r="AO853" s="33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33"/>
      <c r="BH853" s="33"/>
      <c r="BI853" s="33"/>
      <c r="BJ853" s="33"/>
      <c r="BK853" s="33"/>
      <c r="BL853" s="33"/>
      <c r="BM853" s="33"/>
      <c r="BN853" s="33"/>
      <c r="BO853" s="33"/>
    </row>
    <row r="854" spans="1:67" ht="15.7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  <c r="AO854" s="33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33"/>
      <c r="BH854" s="33"/>
      <c r="BI854" s="33"/>
      <c r="BJ854" s="33"/>
      <c r="BK854" s="33"/>
      <c r="BL854" s="33"/>
      <c r="BM854" s="33"/>
      <c r="BN854" s="33"/>
      <c r="BO854" s="33"/>
    </row>
    <row r="855" spans="1:67" ht="15.7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  <c r="AO855" s="33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33"/>
      <c r="BH855" s="33"/>
      <c r="BI855" s="33"/>
      <c r="BJ855" s="33"/>
      <c r="BK855" s="33"/>
      <c r="BL855" s="33"/>
      <c r="BM855" s="33"/>
      <c r="BN855" s="33"/>
      <c r="BO855" s="33"/>
    </row>
    <row r="856" spans="1:67" ht="15.7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  <c r="AO856" s="33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33"/>
      <c r="BH856" s="33"/>
      <c r="BI856" s="33"/>
      <c r="BJ856" s="33"/>
      <c r="BK856" s="33"/>
      <c r="BL856" s="33"/>
      <c r="BM856" s="33"/>
      <c r="BN856" s="33"/>
      <c r="BO856" s="33"/>
    </row>
    <row r="857" spans="1:67" ht="15.7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  <c r="AO857" s="33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33"/>
      <c r="BH857" s="33"/>
      <c r="BI857" s="33"/>
      <c r="BJ857" s="33"/>
      <c r="BK857" s="33"/>
      <c r="BL857" s="33"/>
      <c r="BM857" s="33"/>
      <c r="BN857" s="33"/>
      <c r="BO857" s="33"/>
    </row>
    <row r="858" spans="1:67" ht="15.7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  <c r="AO858" s="33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33"/>
      <c r="BH858" s="33"/>
      <c r="BI858" s="33"/>
      <c r="BJ858" s="33"/>
      <c r="BK858" s="33"/>
      <c r="BL858" s="33"/>
      <c r="BM858" s="33"/>
      <c r="BN858" s="33"/>
      <c r="BO858" s="33"/>
    </row>
    <row r="859" spans="1:67" ht="15.7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  <c r="AO859" s="33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33"/>
      <c r="BH859" s="33"/>
      <c r="BI859" s="33"/>
      <c r="BJ859" s="33"/>
      <c r="BK859" s="33"/>
      <c r="BL859" s="33"/>
      <c r="BM859" s="33"/>
      <c r="BN859" s="33"/>
      <c r="BO859" s="33"/>
    </row>
    <row r="860" spans="1:67" ht="15.7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  <c r="AO860" s="33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33"/>
      <c r="BH860" s="33"/>
      <c r="BI860" s="33"/>
      <c r="BJ860" s="33"/>
      <c r="BK860" s="33"/>
      <c r="BL860" s="33"/>
      <c r="BM860" s="33"/>
      <c r="BN860" s="33"/>
      <c r="BO860" s="33"/>
    </row>
    <row r="861" spans="1:67" ht="15.7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  <c r="AO861" s="33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33"/>
      <c r="BH861" s="33"/>
      <c r="BI861" s="33"/>
      <c r="BJ861" s="33"/>
      <c r="BK861" s="33"/>
      <c r="BL861" s="33"/>
      <c r="BM861" s="33"/>
      <c r="BN861" s="33"/>
      <c r="BO861" s="33"/>
    </row>
    <row r="862" spans="1:67" ht="15.7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  <c r="AO862" s="33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33"/>
      <c r="BH862" s="33"/>
      <c r="BI862" s="33"/>
      <c r="BJ862" s="33"/>
      <c r="BK862" s="33"/>
      <c r="BL862" s="33"/>
      <c r="BM862" s="33"/>
      <c r="BN862" s="33"/>
      <c r="BO862" s="33"/>
    </row>
    <row r="863" spans="1:67" ht="15.7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  <c r="AO863" s="33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33"/>
      <c r="BH863" s="33"/>
      <c r="BI863" s="33"/>
      <c r="BJ863" s="33"/>
      <c r="BK863" s="33"/>
      <c r="BL863" s="33"/>
      <c r="BM863" s="33"/>
      <c r="BN863" s="33"/>
      <c r="BO863" s="33"/>
    </row>
    <row r="864" spans="1:67" ht="15.7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  <c r="AO864" s="33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33"/>
      <c r="BH864" s="33"/>
      <c r="BI864" s="33"/>
      <c r="BJ864" s="33"/>
      <c r="BK864" s="33"/>
      <c r="BL864" s="33"/>
      <c r="BM864" s="33"/>
      <c r="BN864" s="33"/>
      <c r="BO864" s="33"/>
    </row>
    <row r="865" spans="1:67" ht="15.7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  <c r="AO865" s="33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33"/>
      <c r="BH865" s="33"/>
      <c r="BI865" s="33"/>
      <c r="BJ865" s="33"/>
      <c r="BK865" s="33"/>
      <c r="BL865" s="33"/>
      <c r="BM865" s="33"/>
      <c r="BN865" s="33"/>
      <c r="BO865" s="33"/>
    </row>
    <row r="866" spans="1:67" ht="15.7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  <c r="AO866" s="33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33"/>
      <c r="BH866" s="33"/>
      <c r="BI866" s="33"/>
      <c r="BJ866" s="33"/>
      <c r="BK866" s="33"/>
      <c r="BL866" s="33"/>
      <c r="BM866" s="33"/>
      <c r="BN866" s="33"/>
      <c r="BO866" s="33"/>
    </row>
    <row r="867" spans="1:67" ht="15.7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  <c r="AO867" s="33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33"/>
      <c r="BH867" s="33"/>
      <c r="BI867" s="33"/>
      <c r="BJ867" s="33"/>
      <c r="BK867" s="33"/>
      <c r="BL867" s="33"/>
      <c r="BM867" s="33"/>
      <c r="BN867" s="33"/>
      <c r="BO867" s="33"/>
    </row>
    <row r="868" spans="1:67" ht="15.7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  <c r="AO868" s="33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33"/>
      <c r="BH868" s="33"/>
      <c r="BI868" s="33"/>
      <c r="BJ868" s="33"/>
      <c r="BK868" s="33"/>
      <c r="BL868" s="33"/>
      <c r="BM868" s="33"/>
      <c r="BN868" s="33"/>
      <c r="BO868" s="33"/>
    </row>
    <row r="869" spans="1:67" ht="15.7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  <c r="AO869" s="33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33"/>
      <c r="BH869" s="33"/>
      <c r="BI869" s="33"/>
      <c r="BJ869" s="33"/>
      <c r="BK869" s="33"/>
      <c r="BL869" s="33"/>
      <c r="BM869" s="33"/>
      <c r="BN869" s="33"/>
      <c r="BO869" s="33"/>
    </row>
    <row r="870" spans="1:67" ht="15.7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  <c r="AO870" s="33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33"/>
      <c r="BH870" s="33"/>
      <c r="BI870" s="33"/>
      <c r="BJ870" s="33"/>
      <c r="BK870" s="33"/>
      <c r="BL870" s="33"/>
      <c r="BM870" s="33"/>
      <c r="BN870" s="33"/>
      <c r="BO870" s="33"/>
    </row>
    <row r="871" spans="1:67" ht="15.7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  <c r="AO871" s="33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33"/>
      <c r="BH871" s="33"/>
      <c r="BI871" s="33"/>
      <c r="BJ871" s="33"/>
      <c r="BK871" s="33"/>
      <c r="BL871" s="33"/>
      <c r="BM871" s="33"/>
      <c r="BN871" s="33"/>
      <c r="BO871" s="33"/>
    </row>
    <row r="872" spans="1:67" ht="15.7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  <c r="AO872" s="33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33"/>
      <c r="BH872" s="33"/>
      <c r="BI872" s="33"/>
      <c r="BJ872" s="33"/>
      <c r="BK872" s="33"/>
      <c r="BL872" s="33"/>
      <c r="BM872" s="33"/>
      <c r="BN872" s="33"/>
      <c r="BO872" s="33"/>
    </row>
    <row r="873" spans="1:67" ht="15.7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  <c r="AO873" s="33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33"/>
      <c r="BH873" s="33"/>
      <c r="BI873" s="33"/>
      <c r="BJ873" s="33"/>
      <c r="BK873" s="33"/>
      <c r="BL873" s="33"/>
      <c r="BM873" s="33"/>
      <c r="BN873" s="33"/>
      <c r="BO873" s="33"/>
    </row>
    <row r="874" spans="1:67" ht="15.7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  <c r="AO874" s="33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33"/>
      <c r="BH874" s="33"/>
      <c r="BI874" s="33"/>
      <c r="BJ874" s="33"/>
      <c r="BK874" s="33"/>
      <c r="BL874" s="33"/>
      <c r="BM874" s="33"/>
      <c r="BN874" s="33"/>
      <c r="BO874" s="33"/>
    </row>
    <row r="875" spans="1:67" ht="15.7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  <c r="AO875" s="33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33"/>
      <c r="BH875" s="33"/>
      <c r="BI875" s="33"/>
      <c r="BJ875" s="33"/>
      <c r="BK875" s="33"/>
      <c r="BL875" s="33"/>
      <c r="BM875" s="33"/>
      <c r="BN875" s="33"/>
      <c r="BO875" s="33"/>
    </row>
    <row r="876" spans="1:67" ht="15.7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  <c r="AO876" s="33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33"/>
      <c r="BH876" s="33"/>
      <c r="BI876" s="33"/>
      <c r="BJ876" s="33"/>
      <c r="BK876" s="33"/>
      <c r="BL876" s="33"/>
      <c r="BM876" s="33"/>
      <c r="BN876" s="33"/>
      <c r="BO876" s="33"/>
    </row>
    <row r="877" spans="1:67" ht="15.7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  <c r="AO877" s="33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33"/>
      <c r="BH877" s="33"/>
      <c r="BI877" s="33"/>
      <c r="BJ877" s="33"/>
      <c r="BK877" s="33"/>
      <c r="BL877" s="33"/>
      <c r="BM877" s="33"/>
      <c r="BN877" s="33"/>
      <c r="BO877" s="33"/>
    </row>
    <row r="878" spans="1:67" ht="15.7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  <c r="AO878" s="33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33"/>
      <c r="BH878" s="33"/>
      <c r="BI878" s="33"/>
      <c r="BJ878" s="33"/>
      <c r="BK878" s="33"/>
      <c r="BL878" s="33"/>
      <c r="BM878" s="33"/>
      <c r="BN878" s="33"/>
      <c r="BO878" s="33"/>
    </row>
    <row r="879" spans="1:67" ht="15.7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  <c r="AO879" s="33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33"/>
      <c r="BH879" s="33"/>
      <c r="BI879" s="33"/>
      <c r="BJ879" s="33"/>
      <c r="BK879" s="33"/>
      <c r="BL879" s="33"/>
      <c r="BM879" s="33"/>
      <c r="BN879" s="33"/>
      <c r="BO879" s="33"/>
    </row>
    <row r="880" spans="1:67" ht="15.7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  <c r="AO880" s="33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33"/>
      <c r="BH880" s="33"/>
      <c r="BI880" s="33"/>
      <c r="BJ880" s="33"/>
      <c r="BK880" s="33"/>
      <c r="BL880" s="33"/>
      <c r="BM880" s="33"/>
      <c r="BN880" s="33"/>
      <c r="BO880" s="33"/>
    </row>
    <row r="881" spans="1:67" ht="15.7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  <c r="AO881" s="33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33"/>
      <c r="BH881" s="33"/>
      <c r="BI881" s="33"/>
      <c r="BJ881" s="33"/>
      <c r="BK881" s="33"/>
      <c r="BL881" s="33"/>
      <c r="BM881" s="33"/>
      <c r="BN881" s="33"/>
      <c r="BO881" s="33"/>
    </row>
    <row r="882" spans="1:67" ht="15.7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  <c r="AO882" s="33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33"/>
      <c r="BH882" s="33"/>
      <c r="BI882" s="33"/>
      <c r="BJ882" s="33"/>
      <c r="BK882" s="33"/>
      <c r="BL882" s="33"/>
      <c r="BM882" s="33"/>
      <c r="BN882" s="33"/>
      <c r="BO882" s="33"/>
    </row>
    <row r="883" spans="1:67" ht="15.7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  <c r="AO883" s="33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33"/>
      <c r="BH883" s="33"/>
      <c r="BI883" s="33"/>
      <c r="BJ883" s="33"/>
      <c r="BK883" s="33"/>
      <c r="BL883" s="33"/>
      <c r="BM883" s="33"/>
      <c r="BN883" s="33"/>
      <c r="BO883" s="33"/>
    </row>
    <row r="884" spans="1:67" ht="15.7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  <c r="AO884" s="33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33"/>
      <c r="BH884" s="33"/>
      <c r="BI884" s="33"/>
      <c r="BJ884" s="33"/>
      <c r="BK884" s="33"/>
      <c r="BL884" s="33"/>
      <c r="BM884" s="33"/>
      <c r="BN884" s="33"/>
      <c r="BO884" s="33"/>
    </row>
    <row r="885" spans="1:67" ht="15.7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  <c r="AO885" s="33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33"/>
      <c r="BH885" s="33"/>
      <c r="BI885" s="33"/>
      <c r="BJ885" s="33"/>
      <c r="BK885" s="33"/>
      <c r="BL885" s="33"/>
      <c r="BM885" s="33"/>
      <c r="BN885" s="33"/>
      <c r="BO885" s="33"/>
    </row>
    <row r="886" spans="1:67" ht="15.7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  <c r="AO886" s="33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33"/>
      <c r="BH886" s="33"/>
      <c r="BI886" s="33"/>
      <c r="BJ886" s="33"/>
      <c r="BK886" s="33"/>
      <c r="BL886" s="33"/>
      <c r="BM886" s="33"/>
      <c r="BN886" s="33"/>
      <c r="BO886" s="33"/>
    </row>
    <row r="887" spans="1:67" ht="15.7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  <c r="AO887" s="33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33"/>
      <c r="BH887" s="33"/>
      <c r="BI887" s="33"/>
      <c r="BJ887" s="33"/>
      <c r="BK887" s="33"/>
      <c r="BL887" s="33"/>
      <c r="BM887" s="33"/>
      <c r="BN887" s="33"/>
      <c r="BO887" s="33"/>
    </row>
    <row r="888" spans="1:67" ht="15.7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  <c r="AO888" s="33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33"/>
      <c r="BH888" s="33"/>
      <c r="BI888" s="33"/>
      <c r="BJ888" s="33"/>
      <c r="BK888" s="33"/>
      <c r="BL888" s="33"/>
      <c r="BM888" s="33"/>
      <c r="BN888" s="33"/>
      <c r="BO888" s="33"/>
    </row>
    <row r="889" spans="1:67" ht="15.7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  <c r="AO889" s="33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33"/>
      <c r="BH889" s="33"/>
      <c r="BI889" s="33"/>
      <c r="BJ889" s="33"/>
      <c r="BK889" s="33"/>
      <c r="BL889" s="33"/>
      <c r="BM889" s="33"/>
      <c r="BN889" s="33"/>
      <c r="BO889" s="33"/>
    </row>
    <row r="890" spans="1:67" ht="15.7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  <c r="AO890" s="33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33"/>
      <c r="BH890" s="33"/>
      <c r="BI890" s="33"/>
      <c r="BJ890" s="33"/>
      <c r="BK890" s="33"/>
      <c r="BL890" s="33"/>
      <c r="BM890" s="33"/>
      <c r="BN890" s="33"/>
      <c r="BO890" s="33"/>
    </row>
    <row r="891" spans="1:67" ht="15.7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  <c r="AO891" s="33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33"/>
      <c r="BH891" s="33"/>
      <c r="BI891" s="33"/>
      <c r="BJ891" s="33"/>
      <c r="BK891" s="33"/>
      <c r="BL891" s="33"/>
      <c r="BM891" s="33"/>
      <c r="BN891" s="33"/>
      <c r="BO891" s="33"/>
    </row>
    <row r="892" spans="1:67" ht="15.7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  <c r="AO892" s="33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33"/>
      <c r="BH892" s="33"/>
      <c r="BI892" s="33"/>
      <c r="BJ892" s="33"/>
      <c r="BK892" s="33"/>
      <c r="BL892" s="33"/>
      <c r="BM892" s="33"/>
      <c r="BN892" s="33"/>
      <c r="BO892" s="33"/>
    </row>
    <row r="893" spans="1:67" ht="15.7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  <c r="AO893" s="33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33"/>
      <c r="BH893" s="33"/>
      <c r="BI893" s="33"/>
      <c r="BJ893" s="33"/>
      <c r="BK893" s="33"/>
      <c r="BL893" s="33"/>
      <c r="BM893" s="33"/>
      <c r="BN893" s="33"/>
      <c r="BO893" s="33"/>
    </row>
    <row r="894" spans="1:67" ht="15.7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  <c r="AO894" s="33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33"/>
      <c r="BH894" s="33"/>
      <c r="BI894" s="33"/>
      <c r="BJ894" s="33"/>
      <c r="BK894" s="33"/>
      <c r="BL894" s="33"/>
      <c r="BM894" s="33"/>
      <c r="BN894" s="33"/>
      <c r="BO894" s="33"/>
    </row>
    <row r="895" spans="1:67" ht="15.7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  <c r="AO895" s="33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33"/>
      <c r="BH895" s="33"/>
      <c r="BI895" s="33"/>
      <c r="BJ895" s="33"/>
      <c r="BK895" s="33"/>
      <c r="BL895" s="33"/>
      <c r="BM895" s="33"/>
      <c r="BN895" s="33"/>
      <c r="BO895" s="33"/>
    </row>
    <row r="896" spans="1:67" ht="15.7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  <c r="AO896" s="33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33"/>
      <c r="BH896" s="33"/>
      <c r="BI896" s="33"/>
      <c r="BJ896" s="33"/>
      <c r="BK896" s="33"/>
      <c r="BL896" s="33"/>
      <c r="BM896" s="33"/>
      <c r="BN896" s="33"/>
      <c r="BO896" s="33"/>
    </row>
    <row r="897" spans="1:67" ht="15.7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  <c r="AO897" s="33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33"/>
      <c r="BH897" s="33"/>
      <c r="BI897" s="33"/>
      <c r="BJ897" s="33"/>
      <c r="BK897" s="33"/>
      <c r="BL897" s="33"/>
      <c r="BM897" s="33"/>
      <c r="BN897" s="33"/>
      <c r="BO897" s="33"/>
    </row>
    <row r="898" spans="1:67" ht="15.7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  <c r="AO898" s="33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33"/>
      <c r="BH898" s="33"/>
      <c r="BI898" s="33"/>
      <c r="BJ898" s="33"/>
      <c r="BK898" s="33"/>
      <c r="BL898" s="33"/>
      <c r="BM898" s="33"/>
      <c r="BN898" s="33"/>
      <c r="BO898" s="33"/>
    </row>
    <row r="899" spans="1:67" ht="15.7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  <c r="AO899" s="33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33"/>
      <c r="BH899" s="33"/>
      <c r="BI899" s="33"/>
      <c r="BJ899" s="33"/>
      <c r="BK899" s="33"/>
      <c r="BL899" s="33"/>
      <c r="BM899" s="33"/>
      <c r="BN899" s="33"/>
      <c r="BO899" s="33"/>
    </row>
    <row r="900" spans="1:67" ht="15.7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  <c r="AO900" s="33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33"/>
      <c r="BH900" s="33"/>
      <c r="BI900" s="33"/>
      <c r="BJ900" s="33"/>
      <c r="BK900" s="33"/>
      <c r="BL900" s="33"/>
      <c r="BM900" s="33"/>
      <c r="BN900" s="33"/>
      <c r="BO900" s="33"/>
    </row>
    <row r="901" spans="1:67" ht="15.7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  <c r="AO901" s="33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33"/>
      <c r="BH901" s="33"/>
      <c r="BI901" s="33"/>
      <c r="BJ901" s="33"/>
      <c r="BK901" s="33"/>
      <c r="BL901" s="33"/>
      <c r="BM901" s="33"/>
      <c r="BN901" s="33"/>
      <c r="BO901" s="33"/>
    </row>
    <row r="902" spans="1:67" ht="15.7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  <c r="AO902" s="33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33"/>
      <c r="BH902" s="33"/>
      <c r="BI902" s="33"/>
      <c r="BJ902" s="33"/>
      <c r="BK902" s="33"/>
      <c r="BL902" s="33"/>
      <c r="BM902" s="33"/>
      <c r="BN902" s="33"/>
      <c r="BO902" s="33"/>
    </row>
    <row r="903" spans="1:67" ht="15.7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  <c r="AO903" s="33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33"/>
      <c r="BH903" s="33"/>
      <c r="BI903" s="33"/>
      <c r="BJ903" s="33"/>
      <c r="BK903" s="33"/>
      <c r="BL903" s="33"/>
      <c r="BM903" s="33"/>
      <c r="BN903" s="33"/>
      <c r="BO903" s="33"/>
    </row>
    <row r="904" spans="1:67" ht="15.7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  <c r="AO904" s="33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33"/>
      <c r="BH904" s="33"/>
      <c r="BI904" s="33"/>
      <c r="BJ904" s="33"/>
      <c r="BK904" s="33"/>
      <c r="BL904" s="33"/>
      <c r="BM904" s="33"/>
      <c r="BN904" s="33"/>
      <c r="BO904" s="33"/>
    </row>
    <row r="905" spans="1:67" ht="15.7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  <c r="AO905" s="33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33"/>
      <c r="BH905" s="33"/>
      <c r="BI905" s="33"/>
      <c r="BJ905" s="33"/>
      <c r="BK905" s="33"/>
      <c r="BL905" s="33"/>
      <c r="BM905" s="33"/>
      <c r="BN905" s="33"/>
      <c r="BO905" s="33"/>
    </row>
    <row r="906" spans="1:67" ht="15.7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  <c r="AO906" s="33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33"/>
      <c r="BH906" s="33"/>
      <c r="BI906" s="33"/>
      <c r="BJ906" s="33"/>
      <c r="BK906" s="33"/>
      <c r="BL906" s="33"/>
      <c r="BM906" s="33"/>
      <c r="BN906" s="33"/>
      <c r="BO906" s="33"/>
    </row>
    <row r="907" spans="1:67" ht="15.7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  <c r="AO907" s="33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33"/>
      <c r="BH907" s="33"/>
      <c r="BI907" s="33"/>
      <c r="BJ907" s="33"/>
      <c r="BK907" s="33"/>
      <c r="BL907" s="33"/>
      <c r="BM907" s="33"/>
      <c r="BN907" s="33"/>
      <c r="BO907" s="33"/>
    </row>
    <row r="908" spans="1:67" ht="15.7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  <c r="AO908" s="33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33"/>
      <c r="BH908" s="33"/>
      <c r="BI908" s="33"/>
      <c r="BJ908" s="33"/>
      <c r="BK908" s="33"/>
      <c r="BL908" s="33"/>
      <c r="BM908" s="33"/>
      <c r="BN908" s="33"/>
      <c r="BO908" s="33"/>
    </row>
    <row r="909" spans="1:67" ht="15.7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  <c r="AO909" s="33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33"/>
      <c r="BH909" s="33"/>
      <c r="BI909" s="33"/>
      <c r="BJ909" s="33"/>
      <c r="BK909" s="33"/>
      <c r="BL909" s="33"/>
      <c r="BM909" s="33"/>
      <c r="BN909" s="33"/>
      <c r="BO909" s="33"/>
    </row>
    <row r="910" spans="1:67" ht="15.7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  <c r="AO910" s="33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33"/>
      <c r="BH910" s="33"/>
      <c r="BI910" s="33"/>
      <c r="BJ910" s="33"/>
      <c r="BK910" s="33"/>
      <c r="BL910" s="33"/>
      <c r="BM910" s="33"/>
      <c r="BN910" s="33"/>
      <c r="BO910" s="33"/>
    </row>
    <row r="911" spans="1:67" ht="15.7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  <c r="AO911" s="33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33"/>
      <c r="BH911" s="33"/>
      <c r="BI911" s="33"/>
      <c r="BJ911" s="33"/>
      <c r="BK911" s="33"/>
      <c r="BL911" s="33"/>
      <c r="BM911" s="33"/>
      <c r="BN911" s="33"/>
      <c r="BO911" s="33"/>
    </row>
    <row r="912" spans="1:67" ht="15.7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  <c r="AO912" s="33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33"/>
      <c r="BH912" s="33"/>
      <c r="BI912" s="33"/>
      <c r="BJ912" s="33"/>
      <c r="BK912" s="33"/>
      <c r="BL912" s="33"/>
      <c r="BM912" s="33"/>
      <c r="BN912" s="33"/>
      <c r="BO912" s="33"/>
    </row>
    <row r="913" spans="1:67" ht="15.7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  <c r="AO913" s="3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33"/>
      <c r="BH913" s="33"/>
      <c r="BI913" s="33"/>
      <c r="BJ913" s="33"/>
      <c r="BK913" s="33"/>
      <c r="BL913" s="33"/>
      <c r="BM913" s="33"/>
      <c r="BN913" s="33"/>
      <c r="BO913" s="33"/>
    </row>
    <row r="914" spans="1:67" ht="15.7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  <c r="AO914" s="33"/>
      <c r="AP914" s="33"/>
      <c r="AQ914" s="33"/>
      <c r="AR914" s="33"/>
      <c r="AS914" s="33"/>
      <c r="AT914" s="33"/>
      <c r="AU914" s="33"/>
      <c r="AV914" s="33"/>
      <c r="AW914" s="33"/>
      <c r="AX914" s="33"/>
      <c r="AY914" s="33"/>
      <c r="AZ914" s="33"/>
      <c r="BA914" s="33"/>
      <c r="BB914" s="33"/>
      <c r="BC914" s="33"/>
      <c r="BD914" s="33"/>
      <c r="BE914" s="33"/>
      <c r="BF914" s="33"/>
      <c r="BG914" s="33"/>
      <c r="BH914" s="33"/>
      <c r="BI914" s="33"/>
      <c r="BJ914" s="33"/>
      <c r="BK914" s="33"/>
      <c r="BL914" s="33"/>
      <c r="BM914" s="33"/>
      <c r="BN914" s="33"/>
      <c r="BO914" s="33"/>
    </row>
    <row r="915" spans="1:67" ht="15.7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  <c r="AO915" s="33"/>
      <c r="AP915" s="33"/>
      <c r="AQ915" s="33"/>
      <c r="AR915" s="33"/>
      <c r="AS915" s="33"/>
      <c r="AT915" s="33"/>
      <c r="AU915" s="33"/>
      <c r="AV915" s="33"/>
      <c r="AW915" s="33"/>
      <c r="AX915" s="33"/>
      <c r="AY915" s="33"/>
      <c r="AZ915" s="33"/>
      <c r="BA915" s="33"/>
      <c r="BB915" s="33"/>
      <c r="BC915" s="33"/>
      <c r="BD915" s="33"/>
      <c r="BE915" s="33"/>
      <c r="BF915" s="33"/>
      <c r="BG915" s="33"/>
      <c r="BH915" s="33"/>
      <c r="BI915" s="33"/>
      <c r="BJ915" s="33"/>
      <c r="BK915" s="33"/>
      <c r="BL915" s="33"/>
      <c r="BM915" s="33"/>
      <c r="BN915" s="33"/>
      <c r="BO915" s="33"/>
    </row>
    <row r="916" spans="1:67" ht="15.7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  <c r="AO916" s="33"/>
      <c r="AP916" s="33"/>
      <c r="AQ916" s="33"/>
      <c r="AR916" s="33"/>
      <c r="AS916" s="33"/>
      <c r="AT916" s="33"/>
      <c r="AU916" s="33"/>
      <c r="AV916" s="33"/>
      <c r="AW916" s="33"/>
      <c r="AX916" s="33"/>
      <c r="AY916" s="33"/>
      <c r="AZ916" s="33"/>
      <c r="BA916" s="33"/>
      <c r="BB916" s="33"/>
      <c r="BC916" s="33"/>
      <c r="BD916" s="33"/>
      <c r="BE916" s="33"/>
      <c r="BF916" s="33"/>
      <c r="BG916" s="33"/>
      <c r="BH916" s="33"/>
      <c r="BI916" s="33"/>
      <c r="BJ916" s="33"/>
      <c r="BK916" s="33"/>
      <c r="BL916" s="33"/>
      <c r="BM916" s="33"/>
      <c r="BN916" s="33"/>
      <c r="BO916" s="33"/>
    </row>
    <row r="917" spans="1:67" ht="15.7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  <c r="AO917" s="33"/>
      <c r="AP917" s="33"/>
      <c r="AQ917" s="33"/>
      <c r="AR917" s="33"/>
      <c r="AS917" s="33"/>
      <c r="AT917" s="33"/>
      <c r="AU917" s="33"/>
      <c r="AV917" s="33"/>
      <c r="AW917" s="33"/>
      <c r="AX917" s="33"/>
      <c r="AY917" s="33"/>
      <c r="AZ917" s="33"/>
      <c r="BA917" s="33"/>
      <c r="BB917" s="33"/>
      <c r="BC917" s="33"/>
      <c r="BD917" s="33"/>
      <c r="BE917" s="33"/>
      <c r="BF917" s="33"/>
      <c r="BG917" s="33"/>
      <c r="BH917" s="33"/>
      <c r="BI917" s="33"/>
      <c r="BJ917" s="33"/>
      <c r="BK917" s="33"/>
      <c r="BL917" s="33"/>
      <c r="BM917" s="33"/>
      <c r="BN917" s="33"/>
      <c r="BO917" s="33"/>
    </row>
    <row r="918" spans="1:67" ht="15.7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  <c r="AO918" s="33"/>
      <c r="AP918" s="33"/>
      <c r="AQ918" s="33"/>
      <c r="AR918" s="33"/>
      <c r="AS918" s="33"/>
      <c r="AT918" s="33"/>
      <c r="AU918" s="33"/>
      <c r="AV918" s="33"/>
      <c r="AW918" s="33"/>
      <c r="AX918" s="33"/>
      <c r="AY918" s="33"/>
      <c r="AZ918" s="33"/>
      <c r="BA918" s="33"/>
      <c r="BB918" s="33"/>
      <c r="BC918" s="33"/>
      <c r="BD918" s="33"/>
      <c r="BE918" s="33"/>
      <c r="BF918" s="33"/>
      <c r="BG918" s="33"/>
      <c r="BH918" s="33"/>
      <c r="BI918" s="33"/>
      <c r="BJ918" s="33"/>
      <c r="BK918" s="33"/>
      <c r="BL918" s="33"/>
      <c r="BM918" s="33"/>
      <c r="BN918" s="33"/>
      <c r="BO918" s="33"/>
    </row>
    <row r="919" spans="1:67" ht="15.7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  <c r="AO919" s="33"/>
      <c r="AP919" s="33"/>
      <c r="AQ919" s="33"/>
      <c r="AR919" s="33"/>
      <c r="AS919" s="33"/>
      <c r="AT919" s="33"/>
      <c r="AU919" s="33"/>
      <c r="AV919" s="33"/>
      <c r="AW919" s="33"/>
      <c r="AX919" s="33"/>
      <c r="AY919" s="33"/>
      <c r="AZ919" s="33"/>
      <c r="BA919" s="33"/>
      <c r="BB919" s="33"/>
      <c r="BC919" s="33"/>
      <c r="BD919" s="33"/>
      <c r="BE919" s="33"/>
      <c r="BF919" s="33"/>
      <c r="BG919" s="33"/>
      <c r="BH919" s="33"/>
      <c r="BI919" s="33"/>
      <c r="BJ919" s="33"/>
      <c r="BK919" s="33"/>
      <c r="BL919" s="33"/>
      <c r="BM919" s="33"/>
      <c r="BN919" s="33"/>
      <c r="BO919" s="33"/>
    </row>
    <row r="920" spans="1:67" ht="15.7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  <c r="AO920" s="33"/>
      <c r="AP920" s="33"/>
      <c r="AQ920" s="33"/>
      <c r="AR920" s="33"/>
      <c r="AS920" s="33"/>
      <c r="AT920" s="33"/>
      <c r="AU920" s="33"/>
      <c r="AV920" s="33"/>
      <c r="AW920" s="33"/>
      <c r="AX920" s="33"/>
      <c r="AY920" s="33"/>
      <c r="AZ920" s="33"/>
      <c r="BA920" s="33"/>
      <c r="BB920" s="33"/>
      <c r="BC920" s="33"/>
      <c r="BD920" s="33"/>
      <c r="BE920" s="33"/>
      <c r="BF920" s="33"/>
      <c r="BG920" s="33"/>
      <c r="BH920" s="33"/>
      <c r="BI920" s="33"/>
      <c r="BJ920" s="33"/>
      <c r="BK920" s="33"/>
      <c r="BL920" s="33"/>
      <c r="BM920" s="33"/>
      <c r="BN920" s="33"/>
      <c r="BO920" s="33"/>
    </row>
    <row r="921" spans="1:67" ht="15.7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  <c r="AO921" s="33"/>
      <c r="AP921" s="33"/>
      <c r="AQ921" s="33"/>
      <c r="AR921" s="33"/>
      <c r="AS921" s="33"/>
      <c r="AT921" s="33"/>
      <c r="AU921" s="33"/>
      <c r="AV921" s="33"/>
      <c r="AW921" s="33"/>
      <c r="AX921" s="33"/>
      <c r="AY921" s="33"/>
      <c r="AZ921" s="33"/>
      <c r="BA921" s="33"/>
      <c r="BB921" s="33"/>
      <c r="BC921" s="33"/>
      <c r="BD921" s="33"/>
      <c r="BE921" s="33"/>
      <c r="BF921" s="33"/>
      <c r="BG921" s="33"/>
      <c r="BH921" s="33"/>
      <c r="BI921" s="33"/>
      <c r="BJ921" s="33"/>
      <c r="BK921" s="33"/>
      <c r="BL921" s="33"/>
      <c r="BM921" s="33"/>
      <c r="BN921" s="33"/>
      <c r="BO921" s="33"/>
    </row>
    <row r="922" spans="1:67" ht="15.7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  <c r="AO922" s="33"/>
      <c r="AP922" s="33"/>
      <c r="AQ922" s="33"/>
      <c r="AR922" s="33"/>
      <c r="AS922" s="33"/>
      <c r="AT922" s="33"/>
      <c r="AU922" s="33"/>
      <c r="AV922" s="33"/>
      <c r="AW922" s="33"/>
      <c r="AX922" s="33"/>
      <c r="AY922" s="33"/>
      <c r="AZ922" s="33"/>
      <c r="BA922" s="33"/>
      <c r="BB922" s="33"/>
      <c r="BC922" s="33"/>
      <c r="BD922" s="33"/>
      <c r="BE922" s="33"/>
      <c r="BF922" s="33"/>
      <c r="BG922" s="33"/>
      <c r="BH922" s="33"/>
      <c r="BI922" s="33"/>
      <c r="BJ922" s="33"/>
      <c r="BK922" s="33"/>
      <c r="BL922" s="33"/>
      <c r="BM922" s="33"/>
      <c r="BN922" s="33"/>
      <c r="BO922" s="33"/>
    </row>
    <row r="923" spans="1:67" ht="15.7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  <c r="AO923" s="33"/>
      <c r="AP923" s="33"/>
      <c r="AQ923" s="33"/>
      <c r="AR923" s="33"/>
      <c r="AS923" s="33"/>
      <c r="AT923" s="33"/>
      <c r="AU923" s="33"/>
      <c r="AV923" s="33"/>
      <c r="AW923" s="33"/>
      <c r="AX923" s="33"/>
      <c r="AY923" s="33"/>
      <c r="AZ923" s="33"/>
      <c r="BA923" s="33"/>
      <c r="BB923" s="33"/>
      <c r="BC923" s="33"/>
      <c r="BD923" s="33"/>
      <c r="BE923" s="33"/>
      <c r="BF923" s="33"/>
      <c r="BG923" s="33"/>
      <c r="BH923" s="33"/>
      <c r="BI923" s="33"/>
      <c r="BJ923" s="33"/>
      <c r="BK923" s="33"/>
      <c r="BL923" s="33"/>
      <c r="BM923" s="33"/>
      <c r="BN923" s="33"/>
      <c r="BO923" s="33"/>
    </row>
    <row r="924" spans="1:67" ht="15.7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  <c r="AO924" s="33"/>
      <c r="AP924" s="33"/>
      <c r="AQ924" s="33"/>
      <c r="AR924" s="33"/>
      <c r="AS924" s="33"/>
      <c r="AT924" s="33"/>
      <c r="AU924" s="33"/>
      <c r="AV924" s="33"/>
      <c r="AW924" s="33"/>
      <c r="AX924" s="33"/>
      <c r="AY924" s="33"/>
      <c r="AZ924" s="33"/>
      <c r="BA924" s="33"/>
      <c r="BB924" s="33"/>
      <c r="BC924" s="33"/>
      <c r="BD924" s="33"/>
      <c r="BE924" s="33"/>
      <c r="BF924" s="33"/>
      <c r="BG924" s="33"/>
      <c r="BH924" s="33"/>
      <c r="BI924" s="33"/>
      <c r="BJ924" s="33"/>
      <c r="BK924" s="33"/>
      <c r="BL924" s="33"/>
      <c r="BM924" s="33"/>
      <c r="BN924" s="33"/>
      <c r="BO924" s="33"/>
    </row>
    <row r="925" spans="1:67" ht="15.7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  <c r="AO925" s="33"/>
      <c r="AP925" s="33"/>
      <c r="AQ925" s="33"/>
      <c r="AR925" s="33"/>
      <c r="AS925" s="33"/>
      <c r="AT925" s="33"/>
      <c r="AU925" s="33"/>
      <c r="AV925" s="33"/>
      <c r="AW925" s="33"/>
      <c r="AX925" s="33"/>
      <c r="AY925" s="33"/>
      <c r="AZ925" s="33"/>
      <c r="BA925" s="33"/>
      <c r="BB925" s="33"/>
      <c r="BC925" s="33"/>
      <c r="BD925" s="33"/>
      <c r="BE925" s="33"/>
      <c r="BF925" s="33"/>
      <c r="BG925" s="33"/>
      <c r="BH925" s="33"/>
      <c r="BI925" s="33"/>
      <c r="BJ925" s="33"/>
      <c r="BK925" s="33"/>
      <c r="BL925" s="33"/>
      <c r="BM925" s="33"/>
      <c r="BN925" s="33"/>
      <c r="BO925" s="33"/>
    </row>
    <row r="926" spans="1:67" ht="15.7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  <c r="AO926" s="33"/>
      <c r="AP926" s="33"/>
      <c r="AQ926" s="33"/>
      <c r="AR926" s="33"/>
      <c r="AS926" s="33"/>
      <c r="AT926" s="33"/>
      <c r="AU926" s="33"/>
      <c r="AV926" s="33"/>
      <c r="AW926" s="33"/>
      <c r="AX926" s="33"/>
      <c r="AY926" s="33"/>
      <c r="AZ926" s="33"/>
      <c r="BA926" s="33"/>
      <c r="BB926" s="33"/>
      <c r="BC926" s="33"/>
      <c r="BD926" s="33"/>
      <c r="BE926" s="33"/>
      <c r="BF926" s="33"/>
      <c r="BG926" s="33"/>
      <c r="BH926" s="33"/>
      <c r="BI926" s="33"/>
      <c r="BJ926" s="33"/>
      <c r="BK926" s="33"/>
      <c r="BL926" s="33"/>
      <c r="BM926" s="33"/>
      <c r="BN926" s="33"/>
      <c r="BO926" s="33"/>
    </row>
    <row r="927" spans="1:67" ht="15.7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  <c r="AO927" s="3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  <c r="BH927" s="33"/>
      <c r="BI927" s="33"/>
      <c r="BJ927" s="33"/>
      <c r="BK927" s="33"/>
      <c r="BL927" s="33"/>
      <c r="BM927" s="33"/>
      <c r="BN927" s="33"/>
      <c r="BO927" s="33"/>
    </row>
    <row r="928" spans="1:67" ht="15.7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  <c r="AO928" s="3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  <c r="BH928" s="33"/>
      <c r="BI928" s="33"/>
      <c r="BJ928" s="33"/>
      <c r="BK928" s="33"/>
      <c r="BL928" s="33"/>
      <c r="BM928" s="33"/>
      <c r="BN928" s="33"/>
      <c r="BO928" s="33"/>
    </row>
    <row r="929" spans="1:67" ht="15.7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  <c r="AO929" s="3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  <c r="BH929" s="33"/>
      <c r="BI929" s="33"/>
      <c r="BJ929" s="33"/>
      <c r="BK929" s="33"/>
      <c r="BL929" s="33"/>
      <c r="BM929" s="33"/>
      <c r="BN929" s="33"/>
      <c r="BO929" s="33"/>
    </row>
    <row r="930" spans="1:67" ht="15.7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  <c r="AO930" s="3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  <c r="BH930" s="33"/>
      <c r="BI930" s="33"/>
      <c r="BJ930" s="33"/>
      <c r="BK930" s="33"/>
      <c r="BL930" s="33"/>
      <c r="BM930" s="33"/>
      <c r="BN930" s="33"/>
      <c r="BO930" s="33"/>
    </row>
    <row r="931" spans="1:67" ht="15.7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  <c r="AO931" s="3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  <c r="BH931" s="33"/>
      <c r="BI931" s="33"/>
      <c r="BJ931" s="33"/>
      <c r="BK931" s="33"/>
      <c r="BL931" s="33"/>
      <c r="BM931" s="33"/>
      <c r="BN931" s="33"/>
      <c r="BO931" s="33"/>
    </row>
    <row r="932" spans="1:67" ht="15.7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  <c r="AO932" s="3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  <c r="BH932" s="33"/>
      <c r="BI932" s="33"/>
      <c r="BJ932" s="33"/>
      <c r="BK932" s="33"/>
      <c r="BL932" s="33"/>
      <c r="BM932" s="33"/>
      <c r="BN932" s="33"/>
      <c r="BO932" s="33"/>
    </row>
    <row r="933" spans="1:67" ht="15.7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  <c r="AO933" s="3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  <c r="BH933" s="33"/>
      <c r="BI933" s="33"/>
      <c r="BJ933" s="33"/>
      <c r="BK933" s="33"/>
      <c r="BL933" s="33"/>
      <c r="BM933" s="33"/>
      <c r="BN933" s="33"/>
      <c r="BO933" s="33"/>
    </row>
    <row r="934" spans="1:67" ht="15.7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  <c r="AO934" s="3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  <c r="BH934" s="33"/>
      <c r="BI934" s="33"/>
      <c r="BJ934" s="33"/>
      <c r="BK934" s="33"/>
      <c r="BL934" s="33"/>
      <c r="BM934" s="33"/>
      <c r="BN934" s="33"/>
      <c r="BO934" s="33"/>
    </row>
    <row r="935" spans="1:67" ht="15.7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  <c r="AO935" s="3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  <c r="BH935" s="33"/>
      <c r="BI935" s="33"/>
      <c r="BJ935" s="33"/>
      <c r="BK935" s="33"/>
      <c r="BL935" s="33"/>
      <c r="BM935" s="33"/>
      <c r="BN935" s="33"/>
      <c r="BO935" s="33"/>
    </row>
    <row r="936" spans="1:67" ht="15.7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  <c r="AO936" s="3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  <c r="BH936" s="33"/>
      <c r="BI936" s="33"/>
      <c r="BJ936" s="33"/>
      <c r="BK936" s="33"/>
      <c r="BL936" s="33"/>
      <c r="BM936" s="33"/>
      <c r="BN936" s="33"/>
      <c r="BO936" s="33"/>
    </row>
    <row r="937" spans="1:67" ht="15.7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  <c r="AO937" s="3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  <c r="BH937" s="33"/>
      <c r="BI937" s="33"/>
      <c r="BJ937" s="33"/>
      <c r="BK937" s="33"/>
      <c r="BL937" s="33"/>
      <c r="BM937" s="33"/>
      <c r="BN937" s="33"/>
      <c r="BO937" s="33"/>
    </row>
    <row r="938" spans="1:67" ht="15.7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  <c r="AO938" s="33"/>
      <c r="AP938" s="33"/>
      <c r="AQ938" s="33"/>
      <c r="AR938" s="33"/>
      <c r="AS938" s="33"/>
      <c r="AT938" s="33"/>
      <c r="AU938" s="33"/>
      <c r="AV938" s="33"/>
      <c r="AW938" s="33"/>
      <c r="AX938" s="33"/>
      <c r="AY938" s="33"/>
      <c r="AZ938" s="33"/>
      <c r="BA938" s="33"/>
      <c r="BB938" s="33"/>
      <c r="BC938" s="33"/>
      <c r="BD938" s="33"/>
      <c r="BE938" s="33"/>
      <c r="BF938" s="33"/>
      <c r="BG938" s="33"/>
      <c r="BH938" s="33"/>
      <c r="BI938" s="33"/>
      <c r="BJ938" s="33"/>
      <c r="BK938" s="33"/>
      <c r="BL938" s="33"/>
      <c r="BM938" s="33"/>
      <c r="BN938" s="33"/>
      <c r="BO938" s="33"/>
    </row>
    <row r="939" spans="1:67" ht="15.7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  <c r="AO939" s="33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33"/>
      <c r="BH939" s="33"/>
      <c r="BI939" s="33"/>
      <c r="BJ939" s="33"/>
      <c r="BK939" s="33"/>
      <c r="BL939" s="33"/>
      <c r="BM939" s="33"/>
      <c r="BN939" s="33"/>
      <c r="BO939" s="33"/>
    </row>
    <row r="940" spans="1:67" ht="15.7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  <c r="AO940" s="33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33"/>
      <c r="BH940" s="33"/>
      <c r="BI940" s="33"/>
      <c r="BJ940" s="33"/>
      <c r="BK940" s="33"/>
      <c r="BL940" s="33"/>
      <c r="BM940" s="33"/>
      <c r="BN940" s="33"/>
      <c r="BO940" s="33"/>
    </row>
    <row r="941" spans="1:67" ht="15.7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  <c r="AO941" s="33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33"/>
      <c r="BH941" s="33"/>
      <c r="BI941" s="33"/>
      <c r="BJ941" s="33"/>
      <c r="BK941" s="33"/>
      <c r="BL941" s="33"/>
      <c r="BM941" s="33"/>
      <c r="BN941" s="33"/>
      <c r="BO941" s="33"/>
    </row>
    <row r="942" spans="1:67" ht="15.7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  <c r="AO942" s="33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33"/>
      <c r="BH942" s="33"/>
      <c r="BI942" s="33"/>
      <c r="BJ942" s="33"/>
      <c r="BK942" s="33"/>
      <c r="BL942" s="33"/>
      <c r="BM942" s="33"/>
      <c r="BN942" s="33"/>
      <c r="BO942" s="33"/>
    </row>
    <row r="943" spans="1:67" ht="15.7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  <c r="AO943" s="33"/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33"/>
      <c r="BH943" s="33"/>
      <c r="BI943" s="33"/>
      <c r="BJ943" s="33"/>
      <c r="BK943" s="33"/>
      <c r="BL943" s="33"/>
      <c r="BM943" s="33"/>
      <c r="BN943" s="33"/>
      <c r="BO943" s="33"/>
    </row>
    <row r="944" spans="1:67" ht="15.7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  <c r="AO944" s="33"/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33"/>
      <c r="BH944" s="33"/>
      <c r="BI944" s="33"/>
      <c r="BJ944" s="33"/>
      <c r="BK944" s="33"/>
      <c r="BL944" s="33"/>
      <c r="BM944" s="33"/>
      <c r="BN944" s="33"/>
      <c r="BO944" s="33"/>
    </row>
    <row r="945" spans="1:67" ht="15.7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  <c r="AO945" s="33"/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33"/>
      <c r="BH945" s="33"/>
      <c r="BI945" s="33"/>
      <c r="BJ945" s="33"/>
      <c r="BK945" s="33"/>
      <c r="BL945" s="33"/>
      <c r="BM945" s="33"/>
      <c r="BN945" s="33"/>
      <c r="BO945" s="33"/>
    </row>
    <row r="946" spans="1:67" ht="15.7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  <c r="AO946" s="33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33"/>
      <c r="BH946" s="33"/>
      <c r="BI946" s="33"/>
      <c r="BJ946" s="33"/>
      <c r="BK946" s="33"/>
      <c r="BL946" s="33"/>
      <c r="BM946" s="33"/>
      <c r="BN946" s="33"/>
      <c r="BO946" s="33"/>
    </row>
    <row r="947" spans="1:67" ht="15.7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  <c r="AO947" s="33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33"/>
      <c r="BH947" s="33"/>
      <c r="BI947" s="33"/>
      <c r="BJ947" s="33"/>
      <c r="BK947" s="33"/>
      <c r="BL947" s="33"/>
      <c r="BM947" s="33"/>
      <c r="BN947" s="33"/>
      <c r="BO947" s="33"/>
    </row>
    <row r="948" spans="1:67" ht="15.7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  <c r="AO948" s="33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33"/>
      <c r="BH948" s="33"/>
      <c r="BI948" s="33"/>
      <c r="BJ948" s="33"/>
      <c r="BK948" s="33"/>
      <c r="BL948" s="33"/>
      <c r="BM948" s="33"/>
      <c r="BN948" s="33"/>
      <c r="BO948" s="33"/>
    </row>
    <row r="949" spans="1:67" ht="15.7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  <c r="AO949" s="33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33"/>
      <c r="BH949" s="33"/>
      <c r="BI949" s="33"/>
      <c r="BJ949" s="33"/>
      <c r="BK949" s="33"/>
      <c r="BL949" s="33"/>
      <c r="BM949" s="33"/>
      <c r="BN949" s="33"/>
      <c r="BO949" s="33"/>
    </row>
    <row r="950" spans="1:67" ht="15.7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  <c r="AO950" s="33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33"/>
      <c r="BH950" s="33"/>
      <c r="BI950" s="33"/>
      <c r="BJ950" s="33"/>
      <c r="BK950" s="33"/>
      <c r="BL950" s="33"/>
      <c r="BM950" s="33"/>
      <c r="BN950" s="33"/>
      <c r="BO950" s="33"/>
    </row>
    <row r="951" spans="1:67" ht="15.7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  <c r="AO951" s="33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33"/>
      <c r="BH951" s="33"/>
      <c r="BI951" s="33"/>
      <c r="BJ951" s="33"/>
      <c r="BK951" s="33"/>
      <c r="BL951" s="33"/>
      <c r="BM951" s="33"/>
      <c r="BN951" s="33"/>
      <c r="BO951" s="33"/>
    </row>
    <row r="952" spans="1:67" ht="15.7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  <c r="AO952" s="33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33"/>
      <c r="BH952" s="33"/>
      <c r="BI952" s="33"/>
      <c r="BJ952" s="33"/>
      <c r="BK952" s="33"/>
      <c r="BL952" s="33"/>
      <c r="BM952" s="33"/>
      <c r="BN952" s="33"/>
      <c r="BO952" s="33"/>
    </row>
    <row r="953" spans="1:67" ht="15.7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  <c r="AO953" s="33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33"/>
      <c r="BH953" s="33"/>
      <c r="BI953" s="33"/>
      <c r="BJ953" s="33"/>
      <c r="BK953" s="33"/>
      <c r="BL953" s="33"/>
      <c r="BM953" s="33"/>
      <c r="BN953" s="33"/>
      <c r="BO953" s="33"/>
    </row>
    <row r="954" spans="1:67" ht="15.7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  <c r="AO954" s="33"/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33"/>
      <c r="BH954" s="33"/>
      <c r="BI954" s="33"/>
      <c r="BJ954" s="33"/>
      <c r="BK954" s="33"/>
      <c r="BL954" s="33"/>
      <c r="BM954" s="33"/>
      <c r="BN954" s="33"/>
      <c r="BO954" s="33"/>
    </row>
    <row r="955" spans="1:67" ht="15.7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  <c r="AO955" s="33"/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33"/>
      <c r="BH955" s="33"/>
      <c r="BI955" s="33"/>
      <c r="BJ955" s="33"/>
      <c r="BK955" s="33"/>
      <c r="BL955" s="33"/>
      <c r="BM955" s="33"/>
      <c r="BN955" s="33"/>
      <c r="BO955" s="33"/>
    </row>
    <row r="956" spans="1:67" ht="15.7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  <c r="AO956" s="33"/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33"/>
      <c r="BH956" s="33"/>
      <c r="BI956" s="33"/>
      <c r="BJ956" s="33"/>
      <c r="BK956" s="33"/>
      <c r="BL956" s="33"/>
      <c r="BM956" s="33"/>
      <c r="BN956" s="33"/>
      <c r="BO956" s="33"/>
    </row>
    <row r="957" spans="1:67" ht="15.7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  <c r="AO957" s="33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33"/>
      <c r="BH957" s="33"/>
      <c r="BI957" s="33"/>
      <c r="BJ957" s="33"/>
      <c r="BK957" s="33"/>
      <c r="BL957" s="33"/>
      <c r="BM957" s="33"/>
      <c r="BN957" s="33"/>
      <c r="BO957" s="33"/>
    </row>
    <row r="958" spans="1:67" ht="15.7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  <c r="AO958" s="33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33"/>
      <c r="BH958" s="33"/>
      <c r="BI958" s="33"/>
      <c r="BJ958" s="33"/>
      <c r="BK958" s="33"/>
      <c r="BL958" s="33"/>
      <c r="BM958" s="33"/>
      <c r="BN958" s="33"/>
      <c r="BO958" s="33"/>
    </row>
    <row r="959" spans="1:67" ht="15.7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  <c r="AO959" s="33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33"/>
      <c r="BH959" s="33"/>
      <c r="BI959" s="33"/>
      <c r="BJ959" s="33"/>
      <c r="BK959" s="33"/>
      <c r="BL959" s="33"/>
      <c r="BM959" s="33"/>
      <c r="BN959" s="33"/>
      <c r="BO959" s="33"/>
    </row>
    <row r="960" spans="1:67" ht="15.7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  <c r="AO960" s="33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33"/>
      <c r="BH960" s="33"/>
      <c r="BI960" s="33"/>
      <c r="BJ960" s="33"/>
      <c r="BK960" s="33"/>
      <c r="BL960" s="33"/>
      <c r="BM960" s="33"/>
      <c r="BN960" s="33"/>
      <c r="BO960" s="33"/>
    </row>
    <row r="961" spans="1:67" ht="15.7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  <c r="AO961" s="33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33"/>
      <c r="BH961" s="33"/>
      <c r="BI961" s="33"/>
      <c r="BJ961" s="33"/>
      <c r="BK961" s="33"/>
      <c r="BL961" s="33"/>
      <c r="BM961" s="33"/>
      <c r="BN961" s="33"/>
      <c r="BO961" s="33"/>
    </row>
    <row r="962" spans="1:67" ht="15.7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  <c r="AO962" s="33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33"/>
      <c r="BH962" s="33"/>
      <c r="BI962" s="33"/>
      <c r="BJ962" s="33"/>
      <c r="BK962" s="33"/>
      <c r="BL962" s="33"/>
      <c r="BM962" s="33"/>
      <c r="BN962" s="33"/>
      <c r="BO962" s="33"/>
    </row>
    <row r="963" spans="1:67" ht="15.7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  <c r="AO963" s="33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33"/>
      <c r="BH963" s="33"/>
      <c r="BI963" s="33"/>
      <c r="BJ963" s="33"/>
      <c r="BK963" s="33"/>
      <c r="BL963" s="33"/>
      <c r="BM963" s="33"/>
      <c r="BN963" s="33"/>
      <c r="BO963" s="33"/>
    </row>
    <row r="964" spans="1:67" ht="15.7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  <c r="AO964" s="33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33"/>
      <c r="BH964" s="33"/>
      <c r="BI964" s="33"/>
      <c r="BJ964" s="33"/>
      <c r="BK964" s="33"/>
      <c r="BL964" s="33"/>
      <c r="BM964" s="33"/>
      <c r="BN964" s="33"/>
      <c r="BO964" s="33"/>
    </row>
    <row r="965" spans="1:67" ht="15.7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  <c r="AO965" s="33"/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33"/>
      <c r="BH965" s="33"/>
      <c r="BI965" s="33"/>
      <c r="BJ965" s="33"/>
      <c r="BK965" s="33"/>
      <c r="BL965" s="33"/>
      <c r="BM965" s="33"/>
      <c r="BN965" s="33"/>
      <c r="BO965" s="33"/>
    </row>
    <row r="966" spans="1:67" ht="15.7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  <c r="AO966" s="33"/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33"/>
      <c r="BH966" s="33"/>
      <c r="BI966" s="33"/>
      <c r="BJ966" s="33"/>
      <c r="BK966" s="33"/>
      <c r="BL966" s="33"/>
      <c r="BM966" s="33"/>
      <c r="BN966" s="33"/>
      <c r="BO966" s="33"/>
    </row>
    <row r="967" spans="1:67" ht="15.7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  <c r="AO967" s="33"/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33"/>
      <c r="BH967" s="33"/>
      <c r="BI967" s="33"/>
      <c r="BJ967" s="33"/>
      <c r="BK967" s="33"/>
      <c r="BL967" s="33"/>
      <c r="BM967" s="33"/>
      <c r="BN967" s="33"/>
      <c r="BO967" s="33"/>
    </row>
    <row r="968" spans="1:67" ht="15.7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  <c r="AO968" s="33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33"/>
      <c r="BH968" s="33"/>
      <c r="BI968" s="33"/>
      <c r="BJ968" s="33"/>
      <c r="BK968" s="33"/>
      <c r="BL968" s="33"/>
      <c r="BM968" s="33"/>
      <c r="BN968" s="33"/>
      <c r="BO968" s="33"/>
    </row>
    <row r="969" spans="1:67" ht="15.7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  <c r="AO969" s="33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33"/>
      <c r="BH969" s="33"/>
      <c r="BI969" s="33"/>
      <c r="BJ969" s="33"/>
      <c r="BK969" s="33"/>
      <c r="BL969" s="33"/>
      <c r="BM969" s="33"/>
      <c r="BN969" s="33"/>
      <c r="BO969" s="33"/>
    </row>
    <row r="970" spans="1:67" ht="15.7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  <c r="AO970" s="33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33"/>
      <c r="BH970" s="33"/>
      <c r="BI970" s="33"/>
      <c r="BJ970" s="33"/>
      <c r="BK970" s="33"/>
      <c r="BL970" s="33"/>
      <c r="BM970" s="33"/>
      <c r="BN970" s="33"/>
      <c r="BO970" s="33"/>
    </row>
    <row r="971" spans="1:67" ht="15.7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  <c r="AO971" s="33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33"/>
      <c r="BH971" s="33"/>
      <c r="BI971" s="33"/>
      <c r="BJ971" s="33"/>
      <c r="BK971" s="33"/>
      <c r="BL971" s="33"/>
      <c r="BM971" s="33"/>
      <c r="BN971" s="33"/>
      <c r="BO971" s="33"/>
    </row>
    <row r="972" spans="1:67" ht="15.7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  <c r="AO972" s="33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33"/>
      <c r="BH972" s="33"/>
      <c r="BI972" s="33"/>
      <c r="BJ972" s="33"/>
      <c r="BK972" s="33"/>
      <c r="BL972" s="33"/>
      <c r="BM972" s="33"/>
      <c r="BN972" s="33"/>
      <c r="BO972" s="33"/>
    </row>
    <row r="973" spans="1:67" ht="15.7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  <c r="AO973" s="33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33"/>
      <c r="BH973" s="33"/>
      <c r="BI973" s="33"/>
      <c r="BJ973" s="33"/>
      <c r="BK973" s="33"/>
      <c r="BL973" s="33"/>
      <c r="BM973" s="33"/>
      <c r="BN973" s="33"/>
      <c r="BO973" s="33"/>
    </row>
    <row r="974" spans="1:67" ht="15.7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  <c r="AO974" s="33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33"/>
      <c r="BH974" s="33"/>
      <c r="BI974" s="33"/>
      <c r="BJ974" s="33"/>
      <c r="BK974" s="33"/>
      <c r="BL974" s="33"/>
      <c r="BM974" s="33"/>
      <c r="BN974" s="33"/>
      <c r="BO974" s="33"/>
    </row>
    <row r="975" spans="1:67" ht="15.7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  <c r="AO975" s="33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33"/>
      <c r="BH975" s="33"/>
      <c r="BI975" s="33"/>
      <c r="BJ975" s="33"/>
      <c r="BK975" s="33"/>
      <c r="BL975" s="33"/>
      <c r="BM975" s="33"/>
      <c r="BN975" s="33"/>
      <c r="BO975" s="33"/>
    </row>
    <row r="976" spans="1:67" ht="15.7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  <c r="AO976" s="33"/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33"/>
      <c r="BH976" s="33"/>
      <c r="BI976" s="33"/>
      <c r="BJ976" s="33"/>
      <c r="BK976" s="33"/>
      <c r="BL976" s="33"/>
      <c r="BM976" s="33"/>
      <c r="BN976" s="33"/>
      <c r="BO976" s="33"/>
    </row>
    <row r="977" spans="1:67" ht="15.7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  <c r="AO977" s="33"/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33"/>
      <c r="BH977" s="33"/>
      <c r="BI977" s="33"/>
      <c r="BJ977" s="33"/>
      <c r="BK977" s="33"/>
      <c r="BL977" s="33"/>
      <c r="BM977" s="33"/>
      <c r="BN977" s="33"/>
      <c r="BO977" s="33"/>
    </row>
    <row r="978" spans="1:67" ht="15.7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  <c r="AO978" s="33"/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33"/>
      <c r="BH978" s="33"/>
      <c r="BI978" s="33"/>
      <c r="BJ978" s="33"/>
      <c r="BK978" s="33"/>
      <c r="BL978" s="33"/>
      <c r="BM978" s="33"/>
      <c r="BN978" s="33"/>
      <c r="BO978" s="33"/>
    </row>
    <row r="979" spans="1:67" ht="15.7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  <c r="AO979" s="33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33"/>
      <c r="BH979" s="33"/>
      <c r="BI979" s="33"/>
      <c r="BJ979" s="33"/>
      <c r="BK979" s="33"/>
      <c r="BL979" s="33"/>
      <c r="BM979" s="33"/>
      <c r="BN979" s="33"/>
      <c r="BO979" s="33"/>
    </row>
    <row r="980" spans="1:67" ht="15.7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  <c r="AO980" s="33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33"/>
      <c r="BH980" s="33"/>
      <c r="BI980" s="33"/>
      <c r="BJ980" s="33"/>
      <c r="BK980" s="33"/>
      <c r="BL980" s="33"/>
      <c r="BM980" s="33"/>
      <c r="BN980" s="33"/>
      <c r="BO980" s="33"/>
    </row>
    <row r="981" spans="1:67" ht="15.7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  <c r="AO981" s="33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33"/>
      <c r="BH981" s="33"/>
      <c r="BI981" s="33"/>
      <c r="BJ981" s="33"/>
      <c r="BK981" s="33"/>
      <c r="BL981" s="33"/>
      <c r="BM981" s="33"/>
      <c r="BN981" s="33"/>
      <c r="BO981" s="33"/>
    </row>
    <row r="982" spans="1:67" ht="15.7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  <c r="AO982" s="33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33"/>
      <c r="BH982" s="33"/>
      <c r="BI982" s="33"/>
      <c r="BJ982" s="33"/>
      <c r="BK982" s="33"/>
      <c r="BL982" s="33"/>
      <c r="BM982" s="33"/>
      <c r="BN982" s="33"/>
      <c r="BO982" s="33"/>
    </row>
    <row r="983" spans="1:67" ht="15.7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  <c r="AO983" s="33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33"/>
      <c r="BH983" s="33"/>
      <c r="BI983" s="33"/>
      <c r="BJ983" s="33"/>
      <c r="BK983" s="33"/>
      <c r="BL983" s="33"/>
      <c r="BM983" s="33"/>
      <c r="BN983" s="33"/>
      <c r="BO983" s="33"/>
    </row>
    <row r="984" spans="1:67" ht="15.7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  <c r="AO984" s="33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33"/>
      <c r="BH984" s="33"/>
      <c r="BI984" s="33"/>
      <c r="BJ984" s="33"/>
      <c r="BK984" s="33"/>
      <c r="BL984" s="33"/>
      <c r="BM984" s="33"/>
      <c r="BN984" s="33"/>
      <c r="BO984" s="33"/>
    </row>
    <row r="985" spans="1:67" ht="15.7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  <c r="AO985" s="33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33"/>
      <c r="BH985" s="33"/>
      <c r="BI985" s="33"/>
      <c r="BJ985" s="33"/>
      <c r="BK985" s="33"/>
      <c r="BL985" s="33"/>
      <c r="BM985" s="33"/>
      <c r="BN985" s="33"/>
      <c r="BO985" s="33"/>
    </row>
    <row r="986" spans="1:67" ht="15.7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  <c r="AO986" s="33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  <c r="BB986" s="33"/>
      <c r="BC986" s="33"/>
      <c r="BD986" s="33"/>
      <c r="BE986" s="33"/>
      <c r="BF986" s="33"/>
      <c r="BG986" s="33"/>
      <c r="BH986" s="33"/>
      <c r="BI986" s="33"/>
      <c r="BJ986" s="33"/>
      <c r="BK986" s="33"/>
      <c r="BL986" s="33"/>
      <c r="BM986" s="33"/>
      <c r="BN986" s="33"/>
      <c r="BO986" s="33"/>
    </row>
    <row r="987" spans="1:67" ht="15.7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  <c r="AO987" s="33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  <c r="BB987" s="33"/>
      <c r="BC987" s="33"/>
      <c r="BD987" s="33"/>
      <c r="BE987" s="33"/>
      <c r="BF987" s="33"/>
      <c r="BG987" s="33"/>
      <c r="BH987" s="33"/>
      <c r="BI987" s="33"/>
      <c r="BJ987" s="33"/>
      <c r="BK987" s="33"/>
      <c r="BL987" s="33"/>
      <c r="BM987" s="33"/>
      <c r="BN987" s="33"/>
      <c r="BO987" s="33"/>
    </row>
    <row r="988" spans="1:67" ht="15.7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  <c r="AO988" s="33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  <c r="BB988" s="33"/>
      <c r="BC988" s="33"/>
      <c r="BD988" s="33"/>
      <c r="BE988" s="33"/>
      <c r="BF988" s="33"/>
      <c r="BG988" s="33"/>
      <c r="BH988" s="33"/>
      <c r="BI988" s="33"/>
      <c r="BJ988" s="33"/>
      <c r="BK988" s="33"/>
      <c r="BL988" s="33"/>
      <c r="BM988" s="33"/>
      <c r="BN988" s="33"/>
      <c r="BO988" s="33"/>
    </row>
    <row r="989" spans="1:67" ht="15.7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  <c r="AO989" s="33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  <c r="BB989" s="33"/>
      <c r="BC989" s="33"/>
      <c r="BD989" s="33"/>
      <c r="BE989" s="33"/>
      <c r="BF989" s="33"/>
      <c r="BG989" s="33"/>
      <c r="BH989" s="33"/>
      <c r="BI989" s="33"/>
      <c r="BJ989" s="33"/>
      <c r="BK989" s="33"/>
      <c r="BL989" s="33"/>
      <c r="BM989" s="33"/>
      <c r="BN989" s="33"/>
      <c r="BO989" s="33"/>
    </row>
    <row r="990" spans="1:67" ht="15.7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  <c r="AO990" s="33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  <c r="BB990" s="33"/>
      <c r="BC990" s="33"/>
      <c r="BD990" s="33"/>
      <c r="BE990" s="33"/>
      <c r="BF990" s="33"/>
      <c r="BG990" s="33"/>
      <c r="BH990" s="33"/>
      <c r="BI990" s="33"/>
      <c r="BJ990" s="33"/>
      <c r="BK990" s="33"/>
      <c r="BL990" s="33"/>
      <c r="BM990" s="33"/>
      <c r="BN990" s="33"/>
      <c r="BO990" s="33"/>
    </row>
  </sheetData>
  <mergeCells count="2">
    <mergeCell ref="A1:I1"/>
    <mergeCell ref="B29:B30"/>
  </mergeCells>
  <dataValidations count="1">
    <dataValidation type="list" allowBlank="1" showErrorMessage="1" sqref="G4" xr:uid="{00000000-0002-0000-0300-000000000000}">
      <formula1>"Daily,Weekly,Monthly,Quarterly"</formula1>
    </dataValidation>
  </dataValidations>
  <pageMargins left="0.35" right="0.35" top="0.35" bottom="0.5" header="0" footer="0"/>
  <pageSetup scale="75" orientation="landscape" r:id="rId1"/>
  <headerFooter>
    <oddFooter>&amp;CTrang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5124-B4AF-4ACA-A593-B6E452E87DD7}">
  <sheetPr>
    <tabColor rgb="FFFF0000"/>
  </sheetPr>
  <dimension ref="A1:G87"/>
  <sheetViews>
    <sheetView workbookViewId="0">
      <selection activeCell="A28" sqref="A28"/>
    </sheetView>
  </sheetViews>
  <sheetFormatPr defaultRowHeight="14.4"/>
  <cols>
    <col min="1" max="1" width="27" customWidth="1"/>
    <col min="2" max="2" width="31.109375" customWidth="1"/>
    <col min="3" max="3" width="19.88671875" customWidth="1"/>
    <col min="4" max="4" width="21.88671875" customWidth="1"/>
    <col min="5" max="5" width="20.77734375" customWidth="1"/>
    <col min="6" max="6" width="21.5546875" customWidth="1"/>
  </cols>
  <sheetData>
    <row r="1" spans="1:7" ht="17.399999999999999" thickBot="1">
      <c r="A1" s="167" t="s">
        <v>178</v>
      </c>
      <c r="B1" s="163"/>
      <c r="C1" s="163"/>
      <c r="D1" s="163"/>
      <c r="E1" s="163"/>
      <c r="F1" s="163"/>
      <c r="G1" s="163"/>
    </row>
    <row r="2" spans="1:7" ht="17.399999999999999" thickBot="1">
      <c r="A2" s="198" t="s">
        <v>43</v>
      </c>
      <c r="B2" s="199" t="s">
        <v>47</v>
      </c>
      <c r="C2" s="199" t="s">
        <v>55</v>
      </c>
      <c r="D2" s="199" t="s">
        <v>57</v>
      </c>
      <c r="E2" s="199" t="s">
        <v>59</v>
      </c>
      <c r="F2" s="199" t="s">
        <v>65</v>
      </c>
      <c r="G2" s="199" t="s">
        <v>72</v>
      </c>
    </row>
    <row r="3" spans="1:7" ht="17.399999999999999" thickBot="1">
      <c r="A3" s="200">
        <v>1</v>
      </c>
      <c r="B3" s="201" t="s">
        <v>179</v>
      </c>
      <c r="C3" s="201" t="s">
        <v>180</v>
      </c>
      <c r="D3" s="202" t="s">
        <v>181</v>
      </c>
      <c r="E3" s="201">
        <v>90000001</v>
      </c>
      <c r="F3" s="201" t="s">
        <v>182</v>
      </c>
      <c r="G3" s="201" t="s">
        <v>183</v>
      </c>
    </row>
    <row r="4" spans="1:7" ht="17.399999999999999" thickBot="1">
      <c r="A4" s="200">
        <v>2</v>
      </c>
      <c r="B4" s="201" t="s">
        <v>184</v>
      </c>
      <c r="C4" s="201" t="s">
        <v>185</v>
      </c>
      <c r="D4" s="202" t="s">
        <v>186</v>
      </c>
      <c r="E4" s="201">
        <v>90000002</v>
      </c>
      <c r="F4" s="201" t="s">
        <v>187</v>
      </c>
      <c r="G4" s="201" t="s">
        <v>183</v>
      </c>
    </row>
    <row r="5" spans="1:7" ht="17.399999999999999" thickBot="1">
      <c r="A5" s="200">
        <v>3</v>
      </c>
      <c r="B5" s="201" t="s">
        <v>188</v>
      </c>
      <c r="C5" s="201" t="s">
        <v>189</v>
      </c>
      <c r="D5" s="202" t="s">
        <v>190</v>
      </c>
      <c r="E5" s="201">
        <v>90000003</v>
      </c>
      <c r="F5" s="201" t="s">
        <v>187</v>
      </c>
      <c r="G5" s="201" t="s">
        <v>183</v>
      </c>
    </row>
    <row r="6" spans="1:7" ht="17.399999999999999" thickBot="1">
      <c r="A6" s="200">
        <v>4</v>
      </c>
      <c r="B6" s="201" t="s">
        <v>191</v>
      </c>
      <c r="C6" s="201" t="s">
        <v>192</v>
      </c>
      <c r="D6" s="202" t="s">
        <v>193</v>
      </c>
      <c r="E6" s="201">
        <v>90000004</v>
      </c>
      <c r="F6" s="201" t="s">
        <v>187</v>
      </c>
      <c r="G6" s="201" t="s">
        <v>183</v>
      </c>
    </row>
    <row r="7" spans="1:7" ht="17.399999999999999" thickBot="1">
      <c r="A7" s="200">
        <v>5</v>
      </c>
      <c r="B7" s="201" t="s">
        <v>194</v>
      </c>
      <c r="C7" s="201" t="s">
        <v>195</v>
      </c>
      <c r="D7" s="202" t="s">
        <v>196</v>
      </c>
      <c r="E7" s="201">
        <v>90000005</v>
      </c>
      <c r="F7" s="201" t="s">
        <v>187</v>
      </c>
      <c r="G7" s="201" t="s">
        <v>183</v>
      </c>
    </row>
    <row r="9" spans="1:7" ht="17.399999999999999" thickBot="1">
      <c r="A9" s="167" t="s">
        <v>202</v>
      </c>
      <c r="B9" s="163"/>
      <c r="C9" s="163"/>
      <c r="D9" s="163"/>
      <c r="E9" s="163"/>
      <c r="F9" s="163"/>
    </row>
    <row r="10" spans="1:7" ht="17.399999999999999" thickBot="1">
      <c r="A10" s="198" t="s">
        <v>82</v>
      </c>
      <c r="B10" s="199" t="s">
        <v>84</v>
      </c>
      <c r="C10" s="199" t="s">
        <v>75</v>
      </c>
      <c r="D10" s="199" t="s">
        <v>88</v>
      </c>
      <c r="E10" s="199" t="s">
        <v>91</v>
      </c>
      <c r="F10" s="199" t="s">
        <v>72</v>
      </c>
    </row>
    <row r="11" spans="1:7" ht="17.399999999999999" thickBot="1">
      <c r="A11" s="200">
        <v>1</v>
      </c>
      <c r="B11" s="201" t="s">
        <v>197</v>
      </c>
      <c r="C11" s="201">
        <v>4</v>
      </c>
      <c r="D11" s="201">
        <v>120000</v>
      </c>
      <c r="E11" s="201">
        <v>50</v>
      </c>
      <c r="F11" s="201" t="s">
        <v>183</v>
      </c>
    </row>
    <row r="12" spans="1:7" ht="17.399999999999999" thickBot="1">
      <c r="A12" s="200">
        <v>2</v>
      </c>
      <c r="B12" s="201" t="s">
        <v>198</v>
      </c>
      <c r="C12" s="201">
        <v>3</v>
      </c>
      <c r="D12" s="201">
        <v>2500000</v>
      </c>
      <c r="E12" s="201">
        <v>10</v>
      </c>
      <c r="F12" s="201" t="s">
        <v>183</v>
      </c>
    </row>
    <row r="13" spans="1:7" ht="17.399999999999999" thickBot="1">
      <c r="A13" s="200">
        <v>3</v>
      </c>
      <c r="B13" s="201" t="s">
        <v>199</v>
      </c>
      <c r="C13" s="201">
        <v>2</v>
      </c>
      <c r="D13" s="201">
        <v>850000</v>
      </c>
      <c r="E13" s="201">
        <v>20</v>
      </c>
      <c r="F13" s="201" t="s">
        <v>183</v>
      </c>
    </row>
    <row r="14" spans="1:7" ht="17.399999999999999" thickBot="1">
      <c r="A14" s="200">
        <v>4</v>
      </c>
      <c r="B14" s="201" t="s">
        <v>200</v>
      </c>
      <c r="C14" s="201">
        <v>5</v>
      </c>
      <c r="D14" s="201">
        <v>180000</v>
      </c>
      <c r="E14" s="201">
        <v>100</v>
      </c>
      <c r="F14" s="201" t="s">
        <v>183</v>
      </c>
    </row>
    <row r="15" spans="1:7" ht="17.399999999999999" thickBot="1">
      <c r="A15" s="200">
        <v>5</v>
      </c>
      <c r="B15" s="201" t="s">
        <v>201</v>
      </c>
      <c r="C15" s="201">
        <v>4</v>
      </c>
      <c r="D15" s="201">
        <v>90000</v>
      </c>
      <c r="E15" s="201">
        <v>30</v>
      </c>
      <c r="F15" s="201" t="s">
        <v>183</v>
      </c>
    </row>
    <row r="18" spans="1:5" ht="17.399999999999999" thickBot="1">
      <c r="A18" s="167" t="s">
        <v>203</v>
      </c>
    </row>
    <row r="19" spans="1:5" ht="17.399999999999999" thickBot="1">
      <c r="A19" s="198" t="s">
        <v>75</v>
      </c>
      <c r="B19" s="199" t="s">
        <v>77</v>
      </c>
      <c r="C19" s="199" t="s">
        <v>79</v>
      </c>
    </row>
    <row r="20" spans="1:5" ht="17.399999999999999" thickBot="1">
      <c r="A20" s="200">
        <v>1</v>
      </c>
      <c r="B20" s="201" t="s">
        <v>204</v>
      </c>
      <c r="C20" s="201" t="s">
        <v>205</v>
      </c>
    </row>
    <row r="21" spans="1:5" ht="17.399999999999999" thickBot="1">
      <c r="A21" s="200">
        <v>2</v>
      </c>
      <c r="B21" s="201" t="s">
        <v>206</v>
      </c>
      <c r="C21" s="201" t="s">
        <v>205</v>
      </c>
    </row>
    <row r="22" spans="1:5" ht="17.399999999999999" thickBot="1">
      <c r="A22" s="200">
        <v>3</v>
      </c>
      <c r="B22" s="201" t="s">
        <v>207</v>
      </c>
      <c r="C22" s="201" t="s">
        <v>205</v>
      </c>
    </row>
    <row r="23" spans="1:5" ht="17.399999999999999" thickBot="1">
      <c r="A23" s="200">
        <v>4</v>
      </c>
      <c r="B23" s="201" t="s">
        <v>208</v>
      </c>
      <c r="C23" s="201" t="s">
        <v>205</v>
      </c>
    </row>
    <row r="24" spans="1:5" ht="17.399999999999999" thickBot="1">
      <c r="A24" s="200">
        <v>5</v>
      </c>
      <c r="B24" s="201" t="s">
        <v>209</v>
      </c>
      <c r="C24" s="201" t="s">
        <v>205</v>
      </c>
    </row>
    <row r="27" spans="1:5" ht="15" thickBot="1">
      <c r="A27" s="164" t="s">
        <v>210</v>
      </c>
    </row>
    <row r="28" spans="1:5" ht="17.399999999999999" thickBot="1">
      <c r="A28" s="198" t="s">
        <v>100</v>
      </c>
      <c r="B28" s="199" t="s">
        <v>43</v>
      </c>
      <c r="C28" s="199" t="s">
        <v>82</v>
      </c>
      <c r="D28" s="199" t="s">
        <v>91</v>
      </c>
      <c r="E28" s="199" t="s">
        <v>107</v>
      </c>
    </row>
    <row r="29" spans="1:5" ht="17.399999999999999" thickBot="1">
      <c r="A29" s="200">
        <v>1</v>
      </c>
      <c r="B29" s="201">
        <v>2</v>
      </c>
      <c r="C29" s="201">
        <v>1</v>
      </c>
      <c r="D29" s="201">
        <v>1</v>
      </c>
      <c r="E29" s="203">
        <v>46011</v>
      </c>
    </row>
    <row r="30" spans="1:5" ht="17.399999999999999" thickBot="1">
      <c r="A30" s="200">
        <v>2</v>
      </c>
      <c r="B30" s="201">
        <v>2</v>
      </c>
      <c r="C30" s="201">
        <v>4</v>
      </c>
      <c r="D30" s="201">
        <v>1</v>
      </c>
      <c r="E30" s="203">
        <v>46011</v>
      </c>
    </row>
    <row r="31" spans="1:5" ht="17.399999999999999" thickBot="1">
      <c r="A31" s="200">
        <v>3</v>
      </c>
      <c r="B31" s="201">
        <v>3</v>
      </c>
      <c r="C31" s="201">
        <v>2</v>
      </c>
      <c r="D31" s="201">
        <v>1</v>
      </c>
      <c r="E31" s="203">
        <v>46011</v>
      </c>
    </row>
    <row r="32" spans="1:5" ht="17.399999999999999" thickBot="1">
      <c r="A32" s="200">
        <v>4</v>
      </c>
      <c r="B32" s="201">
        <v>4</v>
      </c>
      <c r="C32" s="201">
        <v>3</v>
      </c>
      <c r="D32" s="201">
        <v>2</v>
      </c>
      <c r="E32" s="203">
        <v>46011</v>
      </c>
    </row>
    <row r="33" spans="1:6" ht="17.399999999999999" thickBot="1">
      <c r="A33" s="200">
        <v>5</v>
      </c>
      <c r="B33" s="201">
        <v>5</v>
      </c>
      <c r="C33" s="201">
        <v>5</v>
      </c>
      <c r="D33" s="201">
        <v>1</v>
      </c>
      <c r="E33" s="203">
        <v>46011</v>
      </c>
    </row>
    <row r="36" spans="1:6" ht="17.399999999999999" thickBot="1">
      <c r="A36" s="167" t="s">
        <v>211</v>
      </c>
    </row>
    <row r="37" spans="1:6" ht="17.399999999999999" thickBot="1">
      <c r="A37" s="198" t="s">
        <v>110</v>
      </c>
      <c r="B37" s="199" t="s">
        <v>112</v>
      </c>
      <c r="C37" s="199" t="s">
        <v>43</v>
      </c>
      <c r="D37" s="199" t="s">
        <v>115</v>
      </c>
      <c r="E37" s="199" t="s">
        <v>72</v>
      </c>
      <c r="F37" s="199" t="s">
        <v>62</v>
      </c>
    </row>
    <row r="38" spans="1:6" ht="17.399999999999999" thickBot="1">
      <c r="A38" s="200">
        <v>1</v>
      </c>
      <c r="B38" s="201" t="s">
        <v>212</v>
      </c>
      <c r="C38" s="201">
        <v>2</v>
      </c>
      <c r="D38" s="201">
        <v>120000</v>
      </c>
      <c r="E38" s="201" t="s">
        <v>213</v>
      </c>
      <c r="F38" s="201" t="s">
        <v>214</v>
      </c>
    </row>
    <row r="39" spans="1:6" ht="17.399999999999999" thickBot="1">
      <c r="A39" s="200">
        <v>2</v>
      </c>
      <c r="B39" s="201" t="s">
        <v>215</v>
      </c>
      <c r="C39" s="201">
        <v>3</v>
      </c>
      <c r="D39" s="201">
        <v>2500000</v>
      </c>
      <c r="E39" s="201" t="s">
        <v>216</v>
      </c>
      <c r="F39" s="201" t="s">
        <v>217</v>
      </c>
    </row>
    <row r="40" spans="1:6" ht="17.399999999999999" thickBot="1">
      <c r="A40" s="200">
        <v>3</v>
      </c>
      <c r="B40" s="201" t="s">
        <v>218</v>
      </c>
      <c r="C40" s="201">
        <v>4</v>
      </c>
      <c r="D40" s="201">
        <v>850000</v>
      </c>
      <c r="E40" s="201" t="s">
        <v>219</v>
      </c>
      <c r="F40" s="201" t="s">
        <v>220</v>
      </c>
    </row>
    <row r="41" spans="1:6" ht="17.399999999999999" thickBot="1">
      <c r="A41" s="200">
        <v>4</v>
      </c>
      <c r="B41" s="201" t="s">
        <v>221</v>
      </c>
      <c r="C41" s="201">
        <v>5</v>
      </c>
      <c r="D41" s="201">
        <v>180000</v>
      </c>
      <c r="E41" s="201" t="s">
        <v>213</v>
      </c>
      <c r="F41" s="201" t="s">
        <v>222</v>
      </c>
    </row>
    <row r="42" spans="1:6" ht="17.399999999999999" thickBot="1">
      <c r="A42" s="200">
        <v>5</v>
      </c>
      <c r="B42" s="201" t="s">
        <v>223</v>
      </c>
      <c r="C42" s="201">
        <v>2</v>
      </c>
      <c r="D42" s="201">
        <v>90000</v>
      </c>
      <c r="E42" s="201" t="s">
        <v>224</v>
      </c>
      <c r="F42" s="201" t="s">
        <v>214</v>
      </c>
    </row>
    <row r="45" spans="1:6" ht="17.399999999999999" thickBot="1">
      <c r="A45" s="167" t="s">
        <v>225</v>
      </c>
    </row>
    <row r="46" spans="1:6" ht="17.399999999999999" thickBot="1">
      <c r="A46" s="198" t="s">
        <v>128</v>
      </c>
      <c r="B46" s="199" t="s">
        <v>110</v>
      </c>
      <c r="C46" s="199" t="s">
        <v>82</v>
      </c>
      <c r="D46" s="199" t="s">
        <v>91</v>
      </c>
      <c r="E46" s="199" t="s">
        <v>132</v>
      </c>
    </row>
    <row r="47" spans="1:6" ht="17.399999999999999" thickBot="1">
      <c r="A47" s="200">
        <v>1</v>
      </c>
      <c r="B47" s="201">
        <v>1</v>
      </c>
      <c r="C47" s="201">
        <v>1</v>
      </c>
      <c r="D47" s="201">
        <v>1</v>
      </c>
      <c r="E47" s="201">
        <v>120000</v>
      </c>
    </row>
    <row r="48" spans="1:6" ht="17.399999999999999" thickBot="1">
      <c r="A48" s="200">
        <v>2</v>
      </c>
      <c r="B48" s="201">
        <v>2</v>
      </c>
      <c r="C48" s="201">
        <v>2</v>
      </c>
      <c r="D48" s="201">
        <v>1</v>
      </c>
      <c r="E48" s="201">
        <v>2500000</v>
      </c>
    </row>
    <row r="49" spans="1:5" ht="17.399999999999999" thickBot="1">
      <c r="A49" s="200">
        <v>3</v>
      </c>
      <c r="B49" s="201">
        <v>3</v>
      </c>
      <c r="C49" s="201">
        <v>3</v>
      </c>
      <c r="D49" s="201">
        <v>1</v>
      </c>
      <c r="E49" s="201">
        <v>850000</v>
      </c>
    </row>
    <row r="50" spans="1:5" ht="17.399999999999999" thickBot="1">
      <c r="A50" s="200">
        <v>4</v>
      </c>
      <c r="B50" s="201">
        <v>4</v>
      </c>
      <c r="C50" s="201">
        <v>4</v>
      </c>
      <c r="D50" s="201">
        <v>1</v>
      </c>
      <c r="E50" s="201">
        <v>180000</v>
      </c>
    </row>
    <row r="51" spans="1:5" ht="17.399999999999999" thickBot="1">
      <c r="A51" s="200">
        <v>5</v>
      </c>
      <c r="B51" s="201">
        <v>5</v>
      </c>
      <c r="C51" s="201">
        <v>5</v>
      </c>
      <c r="D51" s="201">
        <v>1</v>
      </c>
      <c r="E51" s="201">
        <v>90000</v>
      </c>
    </row>
    <row r="54" spans="1:5" ht="15" thickBot="1">
      <c r="A54" s="164" t="s">
        <v>226</v>
      </c>
    </row>
    <row r="55" spans="1:5" ht="17.399999999999999" thickBot="1">
      <c r="A55" s="198" t="s">
        <v>135</v>
      </c>
      <c r="B55" s="199" t="s">
        <v>110</v>
      </c>
      <c r="C55" s="199" t="s">
        <v>72</v>
      </c>
      <c r="D55" s="199" t="s">
        <v>138</v>
      </c>
    </row>
    <row r="56" spans="1:5" ht="17.399999999999999" thickBot="1">
      <c r="A56" s="200">
        <v>1</v>
      </c>
      <c r="B56" s="201">
        <v>1</v>
      </c>
      <c r="C56" s="201" t="s">
        <v>219</v>
      </c>
      <c r="D56" s="203">
        <v>46011</v>
      </c>
    </row>
    <row r="57" spans="1:5" ht="17.399999999999999" thickBot="1">
      <c r="A57" s="200">
        <v>2</v>
      </c>
      <c r="B57" s="201">
        <v>1</v>
      </c>
      <c r="C57" s="201" t="s">
        <v>213</v>
      </c>
      <c r="D57" s="203">
        <v>46011</v>
      </c>
    </row>
    <row r="58" spans="1:5" ht="17.399999999999999" thickBot="1">
      <c r="A58" s="200">
        <v>3</v>
      </c>
      <c r="B58" s="201">
        <v>2</v>
      </c>
      <c r="C58" s="201" t="s">
        <v>216</v>
      </c>
      <c r="D58" s="203">
        <v>46011</v>
      </c>
    </row>
    <row r="59" spans="1:5" ht="17.399999999999999" thickBot="1">
      <c r="A59" s="200">
        <v>4</v>
      </c>
      <c r="B59" s="201">
        <v>3</v>
      </c>
      <c r="C59" s="201" t="s">
        <v>219</v>
      </c>
      <c r="D59" s="203">
        <v>46011</v>
      </c>
    </row>
    <row r="60" spans="1:5" ht="17.399999999999999" thickBot="1">
      <c r="A60" s="200">
        <v>5</v>
      </c>
      <c r="B60" s="201">
        <v>5</v>
      </c>
      <c r="C60" s="201" t="s">
        <v>224</v>
      </c>
      <c r="D60" s="203">
        <v>46011</v>
      </c>
    </row>
    <row r="63" spans="1:5" ht="17.399999999999999" thickBot="1">
      <c r="A63" s="167" t="s">
        <v>227</v>
      </c>
    </row>
    <row r="64" spans="1:5" ht="17.399999999999999" thickBot="1">
      <c r="A64" s="198" t="s">
        <v>158</v>
      </c>
      <c r="B64" s="199" t="s">
        <v>43</v>
      </c>
      <c r="C64" s="199" t="s">
        <v>160</v>
      </c>
      <c r="D64" s="199" t="s">
        <v>162</v>
      </c>
    </row>
    <row r="65" spans="1:4" ht="34.200000000000003" thickBot="1">
      <c r="A65" s="200">
        <v>1</v>
      </c>
      <c r="B65" s="201">
        <v>2</v>
      </c>
      <c r="C65" s="201" t="s">
        <v>228</v>
      </c>
      <c r="D65" s="201">
        <v>0</v>
      </c>
    </row>
    <row r="66" spans="1:4" ht="34.200000000000003" thickBot="1">
      <c r="A66" s="200">
        <v>2</v>
      </c>
      <c r="B66" s="201">
        <v>3</v>
      </c>
      <c r="C66" s="201" t="s">
        <v>229</v>
      </c>
      <c r="D66" s="201">
        <v>0</v>
      </c>
    </row>
    <row r="67" spans="1:4" ht="34.200000000000003" thickBot="1">
      <c r="A67" s="200">
        <v>3</v>
      </c>
      <c r="B67" s="201">
        <v>4</v>
      </c>
      <c r="C67" s="201" t="s">
        <v>230</v>
      </c>
      <c r="D67" s="201">
        <v>0</v>
      </c>
    </row>
    <row r="68" spans="1:4" ht="34.200000000000003" thickBot="1">
      <c r="A68" s="200">
        <v>4</v>
      </c>
      <c r="B68" s="201">
        <v>5</v>
      </c>
      <c r="C68" s="201" t="s">
        <v>231</v>
      </c>
      <c r="D68" s="201">
        <v>0</v>
      </c>
    </row>
    <row r="69" spans="1:4" ht="34.200000000000003" thickBot="1">
      <c r="A69" s="200">
        <v>5</v>
      </c>
      <c r="B69" s="201">
        <v>2</v>
      </c>
      <c r="C69" s="201" t="s">
        <v>232</v>
      </c>
      <c r="D69" s="201">
        <v>0</v>
      </c>
    </row>
    <row r="72" spans="1:4" ht="17.399999999999999" thickBot="1">
      <c r="A72" s="167" t="s">
        <v>233</v>
      </c>
    </row>
    <row r="73" spans="1:4" ht="17.399999999999999" thickBot="1">
      <c r="A73" s="198" t="s">
        <v>152</v>
      </c>
      <c r="B73" s="199" t="s">
        <v>82</v>
      </c>
      <c r="C73" s="199" t="s">
        <v>154</v>
      </c>
      <c r="D73" s="199" t="s">
        <v>156</v>
      </c>
    </row>
    <row r="74" spans="1:4" ht="17.399999999999999" thickBot="1">
      <c r="A74" s="200">
        <v>1</v>
      </c>
      <c r="B74" s="201">
        <v>1</v>
      </c>
      <c r="C74" s="201" t="s">
        <v>234</v>
      </c>
      <c r="D74" s="201" t="s">
        <v>235</v>
      </c>
    </row>
    <row r="75" spans="1:4" ht="17.399999999999999" thickBot="1">
      <c r="A75" s="200">
        <v>2</v>
      </c>
      <c r="B75" s="201">
        <v>2</v>
      </c>
      <c r="C75" s="201" t="s">
        <v>236</v>
      </c>
      <c r="D75" s="201" t="s">
        <v>237</v>
      </c>
    </row>
    <row r="76" spans="1:4" ht="17.399999999999999" thickBot="1">
      <c r="A76" s="200">
        <v>3</v>
      </c>
      <c r="B76" s="201">
        <v>3</v>
      </c>
      <c r="C76" s="201" t="s">
        <v>238</v>
      </c>
      <c r="D76" s="201" t="s">
        <v>239</v>
      </c>
    </row>
    <row r="77" spans="1:4" ht="17.399999999999999" thickBot="1">
      <c r="A77" s="200">
        <v>4</v>
      </c>
      <c r="B77" s="201">
        <v>4</v>
      </c>
      <c r="C77" s="201" t="s">
        <v>240</v>
      </c>
      <c r="D77" s="201">
        <v>24</v>
      </c>
    </row>
    <row r="78" spans="1:4" ht="17.399999999999999" thickBot="1">
      <c r="A78" s="200">
        <v>5</v>
      </c>
      <c r="B78" s="201">
        <v>5</v>
      </c>
      <c r="C78" s="201" t="s">
        <v>241</v>
      </c>
      <c r="D78" s="201" t="s">
        <v>242</v>
      </c>
    </row>
    <row r="81" spans="1:5" ht="17.399999999999999" thickBot="1">
      <c r="A81" s="167" t="s">
        <v>243</v>
      </c>
    </row>
    <row r="82" spans="1:5" ht="17.399999999999999" thickBot="1">
      <c r="A82" s="198" t="s">
        <v>141</v>
      </c>
      <c r="B82" s="199" t="s">
        <v>43</v>
      </c>
      <c r="C82" s="199" t="s">
        <v>82</v>
      </c>
      <c r="D82" s="199" t="s">
        <v>144</v>
      </c>
      <c r="E82" s="199" t="s">
        <v>147</v>
      </c>
    </row>
    <row r="83" spans="1:5" ht="17.399999999999999" thickBot="1">
      <c r="A83" s="200">
        <v>1</v>
      </c>
      <c r="B83" s="201">
        <v>2</v>
      </c>
      <c r="C83" s="201">
        <v>1</v>
      </c>
      <c r="D83" s="201">
        <v>5</v>
      </c>
      <c r="E83" s="201" t="s">
        <v>244</v>
      </c>
    </row>
    <row r="84" spans="1:5" ht="17.399999999999999" thickBot="1">
      <c r="A84" s="200">
        <v>2</v>
      </c>
      <c r="B84" s="201">
        <v>3</v>
      </c>
      <c r="C84" s="201">
        <v>2</v>
      </c>
      <c r="D84" s="201">
        <v>4</v>
      </c>
      <c r="E84" s="201" t="s">
        <v>245</v>
      </c>
    </row>
    <row r="85" spans="1:5" ht="17.399999999999999" thickBot="1">
      <c r="A85" s="200">
        <v>3</v>
      </c>
      <c r="B85" s="201">
        <v>4</v>
      </c>
      <c r="C85" s="201">
        <v>3</v>
      </c>
      <c r="D85" s="201">
        <v>5</v>
      </c>
      <c r="E85" s="201" t="s">
        <v>246</v>
      </c>
    </row>
    <row r="86" spans="1:5" ht="17.399999999999999" thickBot="1">
      <c r="A86" s="200">
        <v>4</v>
      </c>
      <c r="B86" s="201">
        <v>5</v>
      </c>
      <c r="C86" s="201">
        <v>4</v>
      </c>
      <c r="D86" s="201">
        <v>4</v>
      </c>
      <c r="E86" s="201" t="s">
        <v>247</v>
      </c>
    </row>
    <row r="87" spans="1:5" ht="17.399999999999999" thickBot="1">
      <c r="A87" s="200">
        <v>5</v>
      </c>
      <c r="B87" s="201">
        <v>2</v>
      </c>
      <c r="C87" s="201">
        <v>5</v>
      </c>
      <c r="D87" s="201">
        <v>5</v>
      </c>
      <c r="E87" s="201" t="s">
        <v>248</v>
      </c>
    </row>
  </sheetData>
  <hyperlinks>
    <hyperlink ref="D3" r:id="rId1" display="mailto:admin@ifixzone.vn" xr:uid="{7F16AF1A-A6F0-4577-83EC-2A1437A7F423}"/>
    <hyperlink ref="D4" r:id="rId2" display="mailto:a@gmail.com" xr:uid="{01560916-9957-4814-8179-14872A8F4A86}"/>
    <hyperlink ref="D5" r:id="rId3" display="mailto:b@gmail.com" xr:uid="{96EB944F-88DA-4DA7-B913-6261AE9878FC}"/>
    <hyperlink ref="D6" r:id="rId4" display="mailto:c@gmail.com" xr:uid="{A39676AA-82D3-4E21-B5BF-97BE974D1A98}"/>
    <hyperlink ref="D7" r:id="rId5" display="mailto:d@gmail.com" xr:uid="{34CC74F5-D062-46A7-8C22-12970D5697E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O1000"/>
  <sheetViews>
    <sheetView showGridLines="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 activeCell="M1" sqref="M1:M1048576"/>
    </sheetView>
  </sheetViews>
  <sheetFormatPr defaultColWidth="14.44140625" defaultRowHeight="15" customHeight="1"/>
  <cols>
    <col min="1" max="1" width="6" customWidth="1"/>
    <col min="2" max="2" width="48.33203125" customWidth="1"/>
    <col min="3" max="3" width="15.6640625" customWidth="1"/>
    <col min="4" max="4" width="12" customWidth="1"/>
    <col min="5" max="5" width="19" customWidth="1"/>
    <col min="6" max="6" width="11.88671875" customWidth="1"/>
    <col min="7" max="7" width="19" customWidth="1"/>
    <col min="8" max="8" width="21.33203125" customWidth="1"/>
    <col min="9" max="9" width="14.109375" customWidth="1"/>
    <col min="10" max="10" width="4.6640625" customWidth="1"/>
    <col min="11" max="11" width="5.109375" customWidth="1"/>
    <col min="12" max="12" width="4.44140625" customWidth="1"/>
    <col min="13" max="13" width="5.109375" customWidth="1"/>
    <col min="14" max="22" width="3.44140625" customWidth="1"/>
    <col min="23" max="67" width="4" customWidth="1"/>
  </cols>
  <sheetData>
    <row r="1" spans="1:67" ht="48.75" customHeight="1">
      <c r="A1" s="209" t="s">
        <v>37</v>
      </c>
      <c r="B1" s="205"/>
      <c r="C1" s="205"/>
      <c r="D1" s="205"/>
      <c r="E1" s="205"/>
      <c r="F1" s="205"/>
      <c r="G1" s="205"/>
      <c r="H1" s="205"/>
      <c r="I1" s="205"/>
      <c r="J1" s="37"/>
      <c r="K1" s="38"/>
      <c r="L1" s="38"/>
      <c r="M1" s="39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1" t="s">
        <v>0</v>
      </c>
      <c r="BJ1" s="40"/>
      <c r="BK1" s="40"/>
      <c r="BL1" s="40"/>
      <c r="BM1" s="40"/>
      <c r="BN1" s="40"/>
      <c r="BO1" s="40"/>
    </row>
    <row r="2" spans="1:67" ht="23.25" customHeight="1">
      <c r="A2" s="42"/>
      <c r="B2" s="42" t="s">
        <v>8</v>
      </c>
      <c r="C2" s="42" t="s">
        <v>9</v>
      </c>
      <c r="D2" s="43"/>
      <c r="E2" s="43"/>
      <c r="F2" s="43"/>
      <c r="G2" s="43"/>
      <c r="H2" s="43"/>
      <c r="I2" s="43"/>
      <c r="J2" s="37"/>
      <c r="K2" s="38"/>
      <c r="L2" s="38"/>
      <c r="M2" s="39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1"/>
      <c r="BJ2" s="40"/>
      <c r="BK2" s="40"/>
      <c r="BL2" s="40"/>
      <c r="BM2" s="40"/>
      <c r="BN2" s="40"/>
      <c r="BO2" s="40"/>
    </row>
    <row r="3" spans="1:67" ht="21.75" customHeight="1">
      <c r="A3" s="44">
        <v>1</v>
      </c>
      <c r="B3" s="45" t="s">
        <v>10</v>
      </c>
      <c r="C3" s="46">
        <v>1</v>
      </c>
      <c r="D3" s="47"/>
      <c r="E3" s="47"/>
      <c r="F3" s="47"/>
      <c r="G3" s="47"/>
      <c r="H3" s="48"/>
      <c r="I3" s="47"/>
      <c r="J3" s="37"/>
      <c r="K3" s="38"/>
      <c r="L3" s="38"/>
      <c r="M3" s="39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1"/>
      <c r="BJ3" s="40"/>
      <c r="BK3" s="40"/>
      <c r="BL3" s="40"/>
      <c r="BM3" s="40"/>
      <c r="BN3" s="40"/>
      <c r="BO3" s="40"/>
    </row>
    <row r="4" spans="1:67" ht="17.25" customHeight="1">
      <c r="A4" s="44">
        <v>2</v>
      </c>
      <c r="B4" s="49" t="s">
        <v>11</v>
      </c>
      <c r="C4" s="46">
        <v>1</v>
      </c>
      <c r="D4" s="37"/>
      <c r="E4" s="50" t="s">
        <v>2</v>
      </c>
      <c r="F4" s="51" t="s">
        <v>12</v>
      </c>
      <c r="G4" s="210">
        <v>45999</v>
      </c>
      <c r="H4" s="206"/>
      <c r="I4" s="38"/>
      <c r="J4" s="52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</row>
    <row r="5" spans="1:67" ht="19.5" customHeight="1">
      <c r="A5" s="44">
        <v>3</v>
      </c>
      <c r="B5" s="45" t="s">
        <v>13</v>
      </c>
      <c r="C5" s="46">
        <v>1</v>
      </c>
      <c r="D5" s="37"/>
      <c r="E5" s="50" t="s">
        <v>4</v>
      </c>
      <c r="F5" s="51"/>
      <c r="G5" s="53">
        <f>G4+54</f>
        <v>46053</v>
      </c>
      <c r="H5" s="54"/>
      <c r="I5" s="38"/>
      <c r="J5" s="52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</row>
    <row r="6" spans="1:67" ht="17.25" customHeight="1">
      <c r="A6" s="44">
        <v>4</v>
      </c>
      <c r="B6" s="45" t="s">
        <v>14</v>
      </c>
      <c r="C6" s="46">
        <v>1</v>
      </c>
      <c r="D6" s="37"/>
      <c r="E6" s="55"/>
      <c r="F6" s="51" t="s">
        <v>15</v>
      </c>
      <c r="G6" s="56" t="s">
        <v>16</v>
      </c>
      <c r="H6" s="38"/>
      <c r="I6" s="38"/>
      <c r="J6" s="52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</row>
    <row r="7" spans="1:67" ht="18" customHeight="1">
      <c r="A7" s="44">
        <v>5</v>
      </c>
      <c r="B7" s="45" t="s">
        <v>17</v>
      </c>
      <c r="C7" s="46">
        <v>1</v>
      </c>
      <c r="D7" s="57"/>
      <c r="E7" s="58" t="s">
        <v>18</v>
      </c>
      <c r="F7" s="59" t="s">
        <v>19</v>
      </c>
      <c r="G7" s="60">
        <v>5</v>
      </c>
      <c r="H7" s="61"/>
      <c r="I7" s="61"/>
      <c r="J7" s="62"/>
      <c r="K7" s="63"/>
      <c r="L7" s="63"/>
      <c r="M7" s="64">
        <f>IF(G6="Weekly",G4+7*(G7-1),IF(G6="Daily",G4+(G7-1),IF(G6="Monthly",EDATE($G$4,($G$7-1)),EDATE($G$4,3*($G$7-1)))))</f>
        <v>46003</v>
      </c>
      <c r="N7" s="64">
        <f t="shared" ref="N7:BO7" si="0">IF($G$6="Daily",M7+1,IF($G$6="Weekly",M7+7,IF($G$6="Monthly",EDATE($G$4,N9-1),EDATE($G$4,3*(N9-1)))))</f>
        <v>46004</v>
      </c>
      <c r="O7" s="64">
        <f t="shared" si="0"/>
        <v>46005</v>
      </c>
      <c r="P7" s="64">
        <f t="shared" si="0"/>
        <v>46006</v>
      </c>
      <c r="Q7" s="64">
        <f t="shared" si="0"/>
        <v>46007</v>
      </c>
      <c r="R7" s="64">
        <f t="shared" si="0"/>
        <v>46008</v>
      </c>
      <c r="S7" s="64">
        <f t="shared" si="0"/>
        <v>46009</v>
      </c>
      <c r="T7" s="64">
        <f t="shared" si="0"/>
        <v>46010</v>
      </c>
      <c r="U7" s="64">
        <f t="shared" si="0"/>
        <v>46011</v>
      </c>
      <c r="V7" s="64">
        <f t="shared" si="0"/>
        <v>46012</v>
      </c>
      <c r="W7" s="64">
        <f t="shared" si="0"/>
        <v>46013</v>
      </c>
      <c r="X7" s="64">
        <f t="shared" si="0"/>
        <v>46014</v>
      </c>
      <c r="Y7" s="64">
        <f t="shared" si="0"/>
        <v>46015</v>
      </c>
      <c r="Z7" s="64">
        <f t="shared" si="0"/>
        <v>46016</v>
      </c>
      <c r="AA7" s="64">
        <f t="shared" si="0"/>
        <v>46017</v>
      </c>
      <c r="AB7" s="64">
        <f t="shared" si="0"/>
        <v>46018</v>
      </c>
      <c r="AC7" s="64">
        <f t="shared" si="0"/>
        <v>46019</v>
      </c>
      <c r="AD7" s="64">
        <f t="shared" si="0"/>
        <v>46020</v>
      </c>
      <c r="AE7" s="64">
        <f t="shared" si="0"/>
        <v>46021</v>
      </c>
      <c r="AF7" s="64">
        <f t="shared" si="0"/>
        <v>46022</v>
      </c>
      <c r="AG7" s="64">
        <f t="shared" si="0"/>
        <v>46023</v>
      </c>
      <c r="AH7" s="64">
        <f t="shared" si="0"/>
        <v>46024</v>
      </c>
      <c r="AI7" s="64">
        <f t="shared" si="0"/>
        <v>46025</v>
      </c>
      <c r="AJ7" s="64">
        <f t="shared" si="0"/>
        <v>46026</v>
      </c>
      <c r="AK7" s="64">
        <f t="shared" si="0"/>
        <v>46027</v>
      </c>
      <c r="AL7" s="64">
        <f t="shared" si="0"/>
        <v>46028</v>
      </c>
      <c r="AM7" s="64">
        <f t="shared" si="0"/>
        <v>46029</v>
      </c>
      <c r="AN7" s="64">
        <f t="shared" si="0"/>
        <v>46030</v>
      </c>
      <c r="AO7" s="64">
        <f t="shared" si="0"/>
        <v>46031</v>
      </c>
      <c r="AP7" s="64">
        <f t="shared" si="0"/>
        <v>46032</v>
      </c>
      <c r="AQ7" s="64">
        <f t="shared" si="0"/>
        <v>46033</v>
      </c>
      <c r="AR7" s="64">
        <f t="shared" si="0"/>
        <v>46034</v>
      </c>
      <c r="AS7" s="64">
        <f t="shared" si="0"/>
        <v>46035</v>
      </c>
      <c r="AT7" s="64">
        <f t="shared" si="0"/>
        <v>46036</v>
      </c>
      <c r="AU7" s="64">
        <f t="shared" si="0"/>
        <v>46037</v>
      </c>
      <c r="AV7" s="64">
        <f t="shared" si="0"/>
        <v>46038</v>
      </c>
      <c r="AW7" s="64">
        <f t="shared" si="0"/>
        <v>46039</v>
      </c>
      <c r="AX7" s="64">
        <f t="shared" si="0"/>
        <v>46040</v>
      </c>
      <c r="AY7" s="64">
        <f t="shared" si="0"/>
        <v>46041</v>
      </c>
      <c r="AZ7" s="64">
        <f t="shared" si="0"/>
        <v>46042</v>
      </c>
      <c r="BA7" s="64">
        <f t="shared" si="0"/>
        <v>46043</v>
      </c>
      <c r="BB7" s="64">
        <f t="shared" si="0"/>
        <v>46044</v>
      </c>
      <c r="BC7" s="64">
        <f t="shared" si="0"/>
        <v>46045</v>
      </c>
      <c r="BD7" s="64">
        <f t="shared" si="0"/>
        <v>46046</v>
      </c>
      <c r="BE7" s="64">
        <f t="shared" si="0"/>
        <v>46047</v>
      </c>
      <c r="BF7" s="64">
        <f t="shared" si="0"/>
        <v>46048</v>
      </c>
      <c r="BG7" s="64">
        <f t="shared" si="0"/>
        <v>46049</v>
      </c>
      <c r="BH7" s="64">
        <f t="shared" si="0"/>
        <v>46050</v>
      </c>
      <c r="BI7" s="64">
        <f t="shared" si="0"/>
        <v>46051</v>
      </c>
      <c r="BJ7" s="64">
        <f t="shared" si="0"/>
        <v>46052</v>
      </c>
      <c r="BK7" s="64">
        <f t="shared" si="0"/>
        <v>46053</v>
      </c>
      <c r="BL7" s="64">
        <f t="shared" si="0"/>
        <v>46054</v>
      </c>
      <c r="BM7" s="64">
        <f t="shared" si="0"/>
        <v>46055</v>
      </c>
      <c r="BN7" s="64">
        <f t="shared" si="0"/>
        <v>46056</v>
      </c>
      <c r="BO7" s="64">
        <f t="shared" si="0"/>
        <v>46057</v>
      </c>
    </row>
    <row r="8" spans="1:67" ht="18" customHeight="1">
      <c r="A8" s="44">
        <v>6</v>
      </c>
      <c r="B8" s="45" t="s">
        <v>20</v>
      </c>
      <c r="C8" s="46">
        <v>1</v>
      </c>
      <c r="D8" s="65"/>
      <c r="E8" s="50" t="s">
        <v>21</v>
      </c>
      <c r="F8" s="66"/>
      <c r="G8" s="67"/>
      <c r="H8" s="211"/>
      <c r="I8" s="212"/>
      <c r="J8" s="52"/>
      <c r="K8" s="40"/>
      <c r="L8" s="40"/>
      <c r="M8" s="68" t="str">
        <f t="shared" ref="M8:BO8" si="1">DAY(M7)&amp;CHAR(10)&amp;LEFT(TEXT(M7,"mmm"),3)&amp;CHAR(10)&amp;"'"&amp;RIGHT(YEAR(M7),2)</f>
        <v>12
Thg
'25</v>
      </c>
      <c r="N8" s="68" t="str">
        <f t="shared" si="1"/>
        <v>13
Thg
'25</v>
      </c>
      <c r="O8" s="68" t="str">
        <f t="shared" si="1"/>
        <v>14
Thg
'25</v>
      </c>
      <c r="P8" s="68" t="str">
        <f t="shared" si="1"/>
        <v>15
Thg
'25</v>
      </c>
      <c r="Q8" s="68" t="str">
        <f t="shared" si="1"/>
        <v>16
Thg
'25</v>
      </c>
      <c r="R8" s="68" t="str">
        <f t="shared" si="1"/>
        <v>17
Thg
'25</v>
      </c>
      <c r="S8" s="68" t="str">
        <f t="shared" si="1"/>
        <v>18
Thg
'25</v>
      </c>
      <c r="T8" s="68" t="str">
        <f t="shared" si="1"/>
        <v>19
Thg
'25</v>
      </c>
      <c r="U8" s="68" t="str">
        <f t="shared" si="1"/>
        <v>20
Thg
'25</v>
      </c>
      <c r="V8" s="68" t="str">
        <f t="shared" si="1"/>
        <v>21
Thg
'25</v>
      </c>
      <c r="W8" s="68" t="str">
        <f t="shared" si="1"/>
        <v>22
Thg
'25</v>
      </c>
      <c r="X8" s="68" t="str">
        <f t="shared" si="1"/>
        <v>23
Thg
'25</v>
      </c>
      <c r="Y8" s="68" t="str">
        <f t="shared" si="1"/>
        <v>24
Thg
'25</v>
      </c>
      <c r="Z8" s="68" t="str">
        <f t="shared" si="1"/>
        <v>25
Thg
'25</v>
      </c>
      <c r="AA8" s="68" t="str">
        <f t="shared" si="1"/>
        <v>26
Thg
'25</v>
      </c>
      <c r="AB8" s="68" t="str">
        <f t="shared" si="1"/>
        <v>27
Thg
'25</v>
      </c>
      <c r="AC8" s="68" t="str">
        <f t="shared" si="1"/>
        <v>28
Thg
'25</v>
      </c>
      <c r="AD8" s="68" t="str">
        <f t="shared" si="1"/>
        <v>29
Thg
'25</v>
      </c>
      <c r="AE8" s="68" t="str">
        <f t="shared" si="1"/>
        <v>30
Thg
'25</v>
      </c>
      <c r="AF8" s="68" t="str">
        <f t="shared" si="1"/>
        <v>31
Thg
'25</v>
      </c>
      <c r="AG8" s="68" t="str">
        <f t="shared" si="1"/>
        <v>1
Thg
'26</v>
      </c>
      <c r="AH8" s="68" t="str">
        <f t="shared" si="1"/>
        <v>2
Thg
'26</v>
      </c>
      <c r="AI8" s="68" t="str">
        <f t="shared" si="1"/>
        <v>3
Thg
'26</v>
      </c>
      <c r="AJ8" s="68" t="str">
        <f t="shared" si="1"/>
        <v>4
Thg
'26</v>
      </c>
      <c r="AK8" s="68" t="str">
        <f t="shared" si="1"/>
        <v>5
Thg
'26</v>
      </c>
      <c r="AL8" s="68" t="str">
        <f t="shared" si="1"/>
        <v>6
Thg
'26</v>
      </c>
      <c r="AM8" s="68" t="str">
        <f t="shared" si="1"/>
        <v>7
Thg
'26</v>
      </c>
      <c r="AN8" s="68" t="str">
        <f t="shared" si="1"/>
        <v>8
Thg
'26</v>
      </c>
      <c r="AO8" s="68" t="str">
        <f t="shared" si="1"/>
        <v>9
Thg
'26</v>
      </c>
      <c r="AP8" s="68" t="str">
        <f t="shared" si="1"/>
        <v>10
Thg
'26</v>
      </c>
      <c r="AQ8" s="68" t="str">
        <f t="shared" si="1"/>
        <v>11
Thg
'26</v>
      </c>
      <c r="AR8" s="68" t="str">
        <f t="shared" si="1"/>
        <v>12
Thg
'26</v>
      </c>
      <c r="AS8" s="68" t="str">
        <f t="shared" si="1"/>
        <v>13
Thg
'26</v>
      </c>
      <c r="AT8" s="68" t="str">
        <f t="shared" si="1"/>
        <v>14
Thg
'26</v>
      </c>
      <c r="AU8" s="68" t="str">
        <f t="shared" si="1"/>
        <v>15
Thg
'26</v>
      </c>
      <c r="AV8" s="68" t="str">
        <f t="shared" si="1"/>
        <v>16
Thg
'26</v>
      </c>
      <c r="AW8" s="68" t="str">
        <f t="shared" si="1"/>
        <v>17
Thg
'26</v>
      </c>
      <c r="AX8" s="68" t="str">
        <f t="shared" si="1"/>
        <v>18
Thg
'26</v>
      </c>
      <c r="AY8" s="68" t="str">
        <f t="shared" si="1"/>
        <v>19
Thg
'26</v>
      </c>
      <c r="AZ8" s="68" t="str">
        <f t="shared" si="1"/>
        <v>20
Thg
'26</v>
      </c>
      <c r="BA8" s="68" t="str">
        <f t="shared" si="1"/>
        <v>21
Thg
'26</v>
      </c>
      <c r="BB8" s="68" t="str">
        <f t="shared" si="1"/>
        <v>22
Thg
'26</v>
      </c>
      <c r="BC8" s="68" t="str">
        <f t="shared" si="1"/>
        <v>23
Thg
'26</v>
      </c>
      <c r="BD8" s="68" t="str">
        <f t="shared" si="1"/>
        <v>24
Thg
'26</v>
      </c>
      <c r="BE8" s="68" t="str">
        <f t="shared" si="1"/>
        <v>25
Thg
'26</v>
      </c>
      <c r="BF8" s="68" t="str">
        <f t="shared" si="1"/>
        <v>26
Thg
'26</v>
      </c>
      <c r="BG8" s="68" t="str">
        <f t="shared" si="1"/>
        <v>27
Thg
'26</v>
      </c>
      <c r="BH8" s="68" t="str">
        <f t="shared" si="1"/>
        <v>28
Thg
'26</v>
      </c>
      <c r="BI8" s="68" t="str">
        <f t="shared" si="1"/>
        <v>29
Thg
'26</v>
      </c>
      <c r="BJ8" s="68" t="str">
        <f t="shared" si="1"/>
        <v>30
Thg
'26</v>
      </c>
      <c r="BK8" s="68" t="str">
        <f t="shared" si="1"/>
        <v>31
Thg
'26</v>
      </c>
      <c r="BL8" s="68" t="str">
        <f t="shared" si="1"/>
        <v>1
Thg
'26</v>
      </c>
      <c r="BM8" s="68" t="str">
        <f t="shared" si="1"/>
        <v>2
Thg
'26</v>
      </c>
      <c r="BN8" s="68" t="str">
        <f t="shared" si="1"/>
        <v>3
Thg
'26</v>
      </c>
      <c r="BO8" s="68" t="str">
        <f t="shared" si="1"/>
        <v>4
Thg
'26</v>
      </c>
    </row>
    <row r="9" spans="1:67" ht="25.5" customHeight="1">
      <c r="A9" s="69" t="s">
        <v>22</v>
      </c>
      <c r="B9" s="70" t="s">
        <v>23</v>
      </c>
      <c r="C9" s="71" t="s">
        <v>24</v>
      </c>
      <c r="D9" s="71" t="s">
        <v>25</v>
      </c>
      <c r="E9" s="70" t="s">
        <v>26</v>
      </c>
      <c r="F9" s="71" t="s">
        <v>27</v>
      </c>
      <c r="G9" s="72" t="s">
        <v>28</v>
      </c>
      <c r="H9" s="72" t="s">
        <v>29</v>
      </c>
      <c r="I9" s="73" t="s">
        <v>30</v>
      </c>
      <c r="J9" s="74" t="s">
        <v>31</v>
      </c>
      <c r="K9" s="74" t="s">
        <v>32</v>
      </c>
      <c r="L9" s="74" t="s">
        <v>33</v>
      </c>
      <c r="M9" s="75">
        <f>G7</f>
        <v>5</v>
      </c>
      <c r="N9" s="75">
        <f t="shared" ref="N9:BN9" si="2">M9+1</f>
        <v>6</v>
      </c>
      <c r="O9" s="75">
        <f t="shared" si="2"/>
        <v>7</v>
      </c>
      <c r="P9" s="75">
        <f t="shared" si="2"/>
        <v>8</v>
      </c>
      <c r="Q9" s="75">
        <f t="shared" si="2"/>
        <v>9</v>
      </c>
      <c r="R9" s="75">
        <f t="shared" si="2"/>
        <v>10</v>
      </c>
      <c r="S9" s="75">
        <f t="shared" si="2"/>
        <v>11</v>
      </c>
      <c r="T9" s="75">
        <f t="shared" si="2"/>
        <v>12</v>
      </c>
      <c r="U9" s="75">
        <f t="shared" si="2"/>
        <v>13</v>
      </c>
      <c r="V9" s="75">
        <f t="shared" si="2"/>
        <v>14</v>
      </c>
      <c r="W9" s="75">
        <f t="shared" si="2"/>
        <v>15</v>
      </c>
      <c r="X9" s="75">
        <f t="shared" si="2"/>
        <v>16</v>
      </c>
      <c r="Y9" s="75">
        <f t="shared" si="2"/>
        <v>17</v>
      </c>
      <c r="Z9" s="75">
        <f t="shared" si="2"/>
        <v>18</v>
      </c>
      <c r="AA9" s="75">
        <f t="shared" si="2"/>
        <v>19</v>
      </c>
      <c r="AB9" s="75">
        <f t="shared" si="2"/>
        <v>20</v>
      </c>
      <c r="AC9" s="75">
        <f t="shared" si="2"/>
        <v>21</v>
      </c>
      <c r="AD9" s="75">
        <f t="shared" si="2"/>
        <v>22</v>
      </c>
      <c r="AE9" s="75">
        <f t="shared" si="2"/>
        <v>23</v>
      </c>
      <c r="AF9" s="75">
        <f t="shared" si="2"/>
        <v>24</v>
      </c>
      <c r="AG9" s="75">
        <f t="shared" si="2"/>
        <v>25</v>
      </c>
      <c r="AH9" s="75">
        <f t="shared" si="2"/>
        <v>26</v>
      </c>
      <c r="AI9" s="75">
        <f t="shared" si="2"/>
        <v>27</v>
      </c>
      <c r="AJ9" s="75">
        <f t="shared" si="2"/>
        <v>28</v>
      </c>
      <c r="AK9" s="75">
        <f t="shared" si="2"/>
        <v>29</v>
      </c>
      <c r="AL9" s="75">
        <f t="shared" si="2"/>
        <v>30</v>
      </c>
      <c r="AM9" s="75">
        <f t="shared" si="2"/>
        <v>31</v>
      </c>
      <c r="AN9" s="75">
        <f t="shared" si="2"/>
        <v>32</v>
      </c>
      <c r="AO9" s="75">
        <f t="shared" si="2"/>
        <v>33</v>
      </c>
      <c r="AP9" s="75">
        <f t="shared" si="2"/>
        <v>34</v>
      </c>
      <c r="AQ9" s="75">
        <f t="shared" si="2"/>
        <v>35</v>
      </c>
      <c r="AR9" s="75">
        <f t="shared" si="2"/>
        <v>36</v>
      </c>
      <c r="AS9" s="75">
        <f t="shared" si="2"/>
        <v>37</v>
      </c>
      <c r="AT9" s="75">
        <f t="shared" si="2"/>
        <v>38</v>
      </c>
      <c r="AU9" s="75">
        <f t="shared" si="2"/>
        <v>39</v>
      </c>
      <c r="AV9" s="75">
        <f t="shared" si="2"/>
        <v>40</v>
      </c>
      <c r="AW9" s="75">
        <f t="shared" si="2"/>
        <v>41</v>
      </c>
      <c r="AX9" s="75">
        <f t="shared" si="2"/>
        <v>42</v>
      </c>
      <c r="AY9" s="75">
        <f t="shared" si="2"/>
        <v>43</v>
      </c>
      <c r="AZ9" s="75">
        <f t="shared" si="2"/>
        <v>44</v>
      </c>
      <c r="BA9" s="75">
        <f t="shared" si="2"/>
        <v>45</v>
      </c>
      <c r="BB9" s="75">
        <f t="shared" si="2"/>
        <v>46</v>
      </c>
      <c r="BC9" s="75">
        <f t="shared" si="2"/>
        <v>47</v>
      </c>
      <c r="BD9" s="75">
        <f t="shared" si="2"/>
        <v>48</v>
      </c>
      <c r="BE9" s="75">
        <f t="shared" si="2"/>
        <v>49</v>
      </c>
      <c r="BF9" s="75">
        <f t="shared" si="2"/>
        <v>50</v>
      </c>
      <c r="BG9" s="75">
        <f t="shared" si="2"/>
        <v>51</v>
      </c>
      <c r="BH9" s="75">
        <f t="shared" si="2"/>
        <v>52</v>
      </c>
      <c r="BI9" s="75">
        <f t="shared" si="2"/>
        <v>53</v>
      </c>
      <c r="BJ9" s="75">
        <f t="shared" si="2"/>
        <v>54</v>
      </c>
      <c r="BK9" s="75">
        <f t="shared" si="2"/>
        <v>55</v>
      </c>
      <c r="BL9" s="75">
        <f t="shared" si="2"/>
        <v>56</v>
      </c>
      <c r="BM9" s="75">
        <f t="shared" si="2"/>
        <v>57</v>
      </c>
      <c r="BN9" s="75">
        <f t="shared" si="2"/>
        <v>58</v>
      </c>
      <c r="BO9" s="38"/>
    </row>
    <row r="10" spans="1:67" ht="21" customHeight="1">
      <c r="A10" s="76">
        <v>1</v>
      </c>
      <c r="B10" s="45"/>
      <c r="C10" s="77"/>
      <c r="D10" s="77"/>
      <c r="E10" s="78"/>
      <c r="F10" s="79"/>
      <c r="G10" s="80"/>
      <c r="H10" s="80"/>
      <c r="I10" s="81"/>
      <c r="J10" s="82"/>
      <c r="K10" s="83"/>
      <c r="L10" s="84" t="str">
        <f t="shared" ref="L10:L12" si="3">IF(OR(ISBLANK(J10),ISBLANK(K10)),"",K10-J10+1)</f>
        <v/>
      </c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  <c r="BC10" s="85"/>
      <c r="BD10" s="85"/>
      <c r="BE10" s="85"/>
      <c r="BF10" s="85"/>
      <c r="BG10" s="85"/>
      <c r="BH10" s="85"/>
      <c r="BI10" s="85"/>
      <c r="BJ10" s="85"/>
      <c r="BK10" s="85"/>
      <c r="BL10" s="85"/>
      <c r="BM10" s="85"/>
      <c r="BN10" s="85"/>
      <c r="BO10" s="86"/>
    </row>
    <row r="11" spans="1:67" ht="14.25" customHeight="1">
      <c r="A11" s="87"/>
      <c r="B11" s="88"/>
      <c r="C11" s="89"/>
      <c r="D11" s="89"/>
      <c r="E11" s="90"/>
      <c r="F11" s="91"/>
      <c r="G11" s="92">
        <f>G4</f>
        <v>45999</v>
      </c>
      <c r="H11" s="92">
        <f>G11+(I11-1)</f>
        <v>46008</v>
      </c>
      <c r="I11" s="93">
        <v>10</v>
      </c>
      <c r="J11" s="94"/>
      <c r="K11" s="95"/>
      <c r="L11" s="96" t="str">
        <f t="shared" si="3"/>
        <v/>
      </c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5"/>
      <c r="BF11" s="85"/>
      <c r="BG11" s="85"/>
      <c r="BH11" s="85"/>
      <c r="BI11" s="85"/>
      <c r="BJ11" s="85"/>
      <c r="BK11" s="85"/>
      <c r="BL11" s="85"/>
      <c r="BM11" s="85"/>
      <c r="BN11" s="85"/>
      <c r="BO11" s="86"/>
    </row>
    <row r="12" spans="1:67" ht="14.25" customHeight="1">
      <c r="A12" s="97"/>
      <c r="B12" s="98"/>
      <c r="C12" s="99"/>
      <c r="D12" s="99"/>
      <c r="E12" s="100"/>
      <c r="F12" s="101"/>
      <c r="G12" s="102"/>
      <c r="H12" s="102"/>
      <c r="I12" s="103"/>
      <c r="J12" s="104"/>
      <c r="K12" s="105"/>
      <c r="L12" s="99" t="str">
        <f t="shared" si="3"/>
        <v/>
      </c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2"/>
    </row>
    <row r="13" spans="1:67" ht="14.25" customHeight="1">
      <c r="A13" s="107"/>
      <c r="B13" s="108"/>
      <c r="C13" s="84"/>
      <c r="D13" s="84"/>
      <c r="E13" s="109"/>
      <c r="F13" s="110"/>
      <c r="G13" s="111">
        <f>G11</f>
        <v>45999</v>
      </c>
      <c r="H13" s="92">
        <f>G13+I13</f>
        <v>46001</v>
      </c>
      <c r="I13" s="112">
        <v>2</v>
      </c>
      <c r="J13" s="113"/>
      <c r="K13" s="114"/>
      <c r="L13" s="84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115"/>
      <c r="AD13" s="85"/>
      <c r="AE13" s="85"/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  <c r="BC13" s="85"/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6"/>
    </row>
    <row r="14" spans="1:67" ht="14.25" customHeight="1">
      <c r="A14" s="107"/>
      <c r="B14" s="108"/>
      <c r="C14" s="84"/>
      <c r="D14" s="84"/>
      <c r="E14" s="109"/>
      <c r="F14" s="110"/>
      <c r="G14" s="116">
        <f>H13</f>
        <v>46001</v>
      </c>
      <c r="H14" s="92">
        <f t="shared" ref="H14:H23" si="4">G14+I14</f>
        <v>46004</v>
      </c>
      <c r="I14" s="112">
        <v>3</v>
      </c>
      <c r="J14" s="113"/>
      <c r="K14" s="114"/>
      <c r="L14" s="84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11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5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86"/>
    </row>
    <row r="15" spans="1:67" ht="21" customHeight="1">
      <c r="A15" s="97"/>
      <c r="B15" s="108"/>
      <c r="C15" s="99"/>
      <c r="D15" s="99"/>
      <c r="E15" s="100"/>
      <c r="F15" s="101"/>
      <c r="G15" s="116">
        <f t="shared" ref="G15:G22" si="5">H14</f>
        <v>46004</v>
      </c>
      <c r="H15" s="92">
        <f t="shared" si="4"/>
        <v>46009</v>
      </c>
      <c r="I15" s="103">
        <v>5</v>
      </c>
      <c r="J15" s="104"/>
      <c r="K15" s="105"/>
      <c r="L15" s="99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17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2"/>
    </row>
    <row r="16" spans="1:67" ht="14.25" customHeight="1">
      <c r="A16" s="97"/>
      <c r="B16" s="108"/>
      <c r="C16" s="99"/>
      <c r="D16" s="99"/>
      <c r="E16" s="100"/>
      <c r="F16" s="101"/>
      <c r="G16" s="116">
        <f t="shared" si="5"/>
        <v>46009</v>
      </c>
      <c r="H16" s="92">
        <f t="shared" si="4"/>
        <v>46012</v>
      </c>
      <c r="I16" s="103">
        <v>3</v>
      </c>
      <c r="J16" s="104"/>
      <c r="K16" s="105"/>
      <c r="L16" s="99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17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2"/>
    </row>
    <row r="17" spans="1:67" ht="19.5" customHeight="1">
      <c r="A17" s="97"/>
      <c r="B17" s="108"/>
      <c r="C17" s="99"/>
      <c r="D17" s="99"/>
      <c r="E17" s="100"/>
      <c r="F17" s="101"/>
      <c r="G17" s="116">
        <f t="shared" si="5"/>
        <v>46012</v>
      </c>
      <c r="H17" s="92">
        <f t="shared" si="4"/>
        <v>46012</v>
      </c>
      <c r="I17" s="103"/>
      <c r="J17" s="104"/>
      <c r="K17" s="105"/>
      <c r="L17" s="99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6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2"/>
    </row>
    <row r="18" spans="1:67" ht="14.25" customHeight="1">
      <c r="A18" s="118"/>
      <c r="B18" s="108"/>
      <c r="C18" s="119"/>
      <c r="D18" s="119"/>
      <c r="E18" s="120"/>
      <c r="F18" s="121"/>
      <c r="G18" s="116">
        <f t="shared" si="5"/>
        <v>46012</v>
      </c>
      <c r="H18" s="92">
        <f t="shared" si="4"/>
        <v>46012</v>
      </c>
      <c r="I18" s="122"/>
      <c r="J18" s="123"/>
      <c r="K18" s="124"/>
      <c r="L18" s="119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AV18" s="125"/>
      <c r="AW18" s="125"/>
      <c r="AX18" s="125"/>
      <c r="AY18" s="125"/>
      <c r="AZ18" s="125"/>
      <c r="BA18" s="125"/>
      <c r="BB18" s="125"/>
      <c r="BC18" s="125"/>
      <c r="BD18" s="125"/>
      <c r="BE18" s="125"/>
      <c r="BF18" s="125"/>
      <c r="BG18" s="125"/>
      <c r="BH18" s="125"/>
      <c r="BI18" s="125"/>
      <c r="BJ18" s="125"/>
      <c r="BK18" s="125"/>
      <c r="BL18" s="125"/>
      <c r="BM18" s="125"/>
      <c r="BN18" s="125"/>
      <c r="BO18" s="126"/>
    </row>
    <row r="19" spans="1:67" ht="14.25" customHeight="1">
      <c r="A19" s="118"/>
      <c r="B19" s="108"/>
      <c r="C19" s="119"/>
      <c r="D19" s="119"/>
      <c r="E19" s="120"/>
      <c r="F19" s="121"/>
      <c r="G19" s="116">
        <f t="shared" si="5"/>
        <v>46012</v>
      </c>
      <c r="H19" s="92">
        <f t="shared" si="4"/>
        <v>46012</v>
      </c>
      <c r="I19" s="122"/>
      <c r="J19" s="123"/>
      <c r="K19" s="124"/>
      <c r="L19" s="119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AV19" s="125"/>
      <c r="AW19" s="125"/>
      <c r="AX19" s="125"/>
      <c r="AY19" s="125"/>
      <c r="AZ19" s="125"/>
      <c r="BA19" s="125"/>
      <c r="BB19" s="125"/>
      <c r="BC19" s="125"/>
      <c r="BD19" s="125"/>
      <c r="BE19" s="125"/>
      <c r="BF19" s="125"/>
      <c r="BG19" s="125"/>
      <c r="BH19" s="125"/>
      <c r="BI19" s="125"/>
      <c r="BJ19" s="125"/>
      <c r="BK19" s="125"/>
      <c r="BL19" s="125"/>
      <c r="BM19" s="125"/>
      <c r="BN19" s="125"/>
      <c r="BO19" s="126"/>
    </row>
    <row r="20" spans="1:67" ht="14.25" customHeight="1">
      <c r="A20" s="118"/>
      <c r="B20" s="108"/>
      <c r="C20" s="119"/>
      <c r="D20" s="119"/>
      <c r="E20" s="120"/>
      <c r="F20" s="121"/>
      <c r="G20" s="116">
        <f t="shared" si="5"/>
        <v>46012</v>
      </c>
      <c r="H20" s="92">
        <f t="shared" si="4"/>
        <v>46012</v>
      </c>
      <c r="I20" s="122"/>
      <c r="J20" s="123"/>
      <c r="K20" s="124"/>
      <c r="L20" s="119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AV20" s="125"/>
      <c r="AW20" s="125"/>
      <c r="AX20" s="125"/>
      <c r="AY20" s="125"/>
      <c r="AZ20" s="125"/>
      <c r="BA20" s="125"/>
      <c r="BB20" s="125"/>
      <c r="BC20" s="125"/>
      <c r="BD20" s="125"/>
      <c r="BE20" s="125"/>
      <c r="BF20" s="125"/>
      <c r="BG20" s="125"/>
      <c r="BH20" s="125"/>
      <c r="BI20" s="125"/>
      <c r="BJ20" s="125"/>
      <c r="BK20" s="125"/>
      <c r="BL20" s="125"/>
      <c r="BM20" s="125"/>
      <c r="BN20" s="125"/>
      <c r="BO20" s="126"/>
    </row>
    <row r="21" spans="1:67" ht="14.25" customHeight="1">
      <c r="A21" s="118"/>
      <c r="B21" s="108"/>
      <c r="C21" s="119"/>
      <c r="D21" s="119"/>
      <c r="E21" s="120"/>
      <c r="F21" s="121"/>
      <c r="G21" s="116">
        <f t="shared" si="5"/>
        <v>46012</v>
      </c>
      <c r="H21" s="92">
        <f t="shared" si="4"/>
        <v>46012</v>
      </c>
      <c r="I21" s="122"/>
      <c r="J21" s="123"/>
      <c r="K21" s="124"/>
      <c r="L21" s="119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AV21" s="125"/>
      <c r="AW21" s="125"/>
      <c r="AX21" s="125"/>
      <c r="AY21" s="125"/>
      <c r="AZ21" s="125"/>
      <c r="BA21" s="125"/>
      <c r="BB21" s="125"/>
      <c r="BC21" s="125"/>
      <c r="BD21" s="125"/>
      <c r="BE21" s="125"/>
      <c r="BF21" s="125"/>
      <c r="BG21" s="125"/>
      <c r="BH21" s="125"/>
      <c r="BI21" s="125"/>
      <c r="BJ21" s="125"/>
      <c r="BK21" s="125"/>
      <c r="BL21" s="125"/>
      <c r="BM21" s="125"/>
      <c r="BN21" s="125"/>
      <c r="BO21" s="126"/>
    </row>
    <row r="22" spans="1:67" ht="14.25" customHeight="1">
      <c r="A22" s="118"/>
      <c r="B22" s="49"/>
      <c r="C22" s="119"/>
      <c r="D22" s="119"/>
      <c r="E22" s="120"/>
      <c r="F22" s="121"/>
      <c r="G22" s="116">
        <f t="shared" si="5"/>
        <v>46012</v>
      </c>
      <c r="H22" s="92">
        <f t="shared" si="4"/>
        <v>46012</v>
      </c>
      <c r="I22" s="122"/>
      <c r="J22" s="123"/>
      <c r="K22" s="124"/>
      <c r="L22" s="119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125"/>
      <c r="BD22" s="125"/>
      <c r="BE22" s="125"/>
      <c r="BF22" s="125"/>
      <c r="BG22" s="125"/>
      <c r="BH22" s="125"/>
      <c r="BI22" s="125"/>
      <c r="BJ22" s="125"/>
      <c r="BK22" s="125"/>
      <c r="BL22" s="125"/>
      <c r="BM22" s="125"/>
      <c r="BN22" s="125"/>
      <c r="BO22" s="126"/>
    </row>
    <row r="23" spans="1:67" ht="14.25" customHeight="1">
      <c r="A23" s="87"/>
      <c r="B23" s="88"/>
      <c r="C23" s="89"/>
      <c r="D23" s="89"/>
      <c r="E23" s="90"/>
      <c r="F23" s="91"/>
      <c r="G23" s="92">
        <v>45701</v>
      </c>
      <c r="H23" s="92">
        <f t="shared" si="4"/>
        <v>45711</v>
      </c>
      <c r="I23" s="93">
        <v>10</v>
      </c>
      <c r="J23" s="123"/>
      <c r="K23" s="124"/>
      <c r="L23" s="119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AV23" s="125"/>
      <c r="AW23" s="125"/>
      <c r="AX23" s="125"/>
      <c r="AY23" s="125"/>
      <c r="AZ23" s="125"/>
      <c r="BA23" s="125"/>
      <c r="BB23" s="125"/>
      <c r="BC23" s="125"/>
      <c r="BD23" s="125"/>
      <c r="BE23" s="125"/>
      <c r="BF23" s="125"/>
      <c r="BG23" s="125"/>
      <c r="BH23" s="125"/>
      <c r="BI23" s="125"/>
      <c r="BJ23" s="125"/>
      <c r="BK23" s="125"/>
      <c r="BL23" s="125"/>
      <c r="BM23" s="125"/>
      <c r="BN23" s="125"/>
      <c r="BO23" s="126"/>
    </row>
    <row r="24" spans="1:67" ht="14.25" customHeight="1">
      <c r="A24" s="118"/>
      <c r="B24" s="49"/>
      <c r="C24" s="119"/>
      <c r="D24" s="119"/>
      <c r="E24" s="120"/>
      <c r="F24" s="121"/>
      <c r="G24" s="116"/>
      <c r="H24" s="92"/>
      <c r="I24" s="122"/>
      <c r="J24" s="123"/>
      <c r="K24" s="124"/>
      <c r="L24" s="119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AV24" s="125"/>
      <c r="AW24" s="125"/>
      <c r="AX24" s="125"/>
      <c r="AY24" s="125"/>
      <c r="AZ24" s="125"/>
      <c r="BA24" s="125"/>
      <c r="BB24" s="125"/>
      <c r="BC24" s="125"/>
      <c r="BD24" s="125"/>
      <c r="BE24" s="125"/>
      <c r="BF24" s="125"/>
      <c r="BG24" s="125"/>
      <c r="BH24" s="125"/>
      <c r="BI24" s="125"/>
      <c r="BJ24" s="125"/>
      <c r="BK24" s="125"/>
      <c r="BL24" s="125"/>
      <c r="BM24" s="125"/>
      <c r="BN24" s="125"/>
      <c r="BO24" s="126"/>
    </row>
    <row r="25" spans="1:67" ht="14.25" customHeight="1">
      <c r="A25" s="118"/>
      <c r="B25" s="49"/>
      <c r="C25" s="119"/>
      <c r="D25" s="119"/>
      <c r="E25" s="120"/>
      <c r="F25" s="121"/>
      <c r="G25" s="116">
        <f>H23</f>
        <v>45711</v>
      </c>
      <c r="H25" s="92">
        <f t="shared" ref="H25:H38" si="6">G25+I25</f>
        <v>45714</v>
      </c>
      <c r="I25" s="122">
        <v>3</v>
      </c>
      <c r="J25" s="123"/>
      <c r="K25" s="124"/>
      <c r="L25" s="119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AV25" s="125"/>
      <c r="AW25" s="125"/>
      <c r="AX25" s="125"/>
      <c r="AY25" s="125"/>
      <c r="AZ25" s="125"/>
      <c r="BA25" s="125"/>
      <c r="BB25" s="125"/>
      <c r="BC25" s="125"/>
      <c r="BD25" s="125"/>
      <c r="BE25" s="125"/>
      <c r="BF25" s="125"/>
      <c r="BG25" s="125"/>
      <c r="BH25" s="125"/>
      <c r="BI25" s="125"/>
      <c r="BJ25" s="125"/>
      <c r="BK25" s="125"/>
      <c r="BL25" s="125"/>
      <c r="BM25" s="125"/>
      <c r="BN25" s="125"/>
      <c r="BO25" s="126"/>
    </row>
    <row r="26" spans="1:67" ht="14.25" customHeight="1">
      <c r="A26" s="118"/>
      <c r="B26" s="49"/>
      <c r="C26" s="119"/>
      <c r="D26" s="119"/>
      <c r="E26" s="120"/>
      <c r="F26" s="121"/>
      <c r="G26" s="116">
        <f t="shared" ref="G26:G39" si="7">H25</f>
        <v>45714</v>
      </c>
      <c r="H26" s="92">
        <f t="shared" si="6"/>
        <v>45717</v>
      </c>
      <c r="I26" s="122">
        <v>3</v>
      </c>
      <c r="J26" s="123"/>
      <c r="K26" s="124"/>
      <c r="L26" s="119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AV26" s="125"/>
      <c r="AW26" s="125"/>
      <c r="AX26" s="125"/>
      <c r="AY26" s="125"/>
      <c r="AZ26" s="125"/>
      <c r="BA26" s="125"/>
      <c r="BB26" s="125"/>
      <c r="BC26" s="125"/>
      <c r="BD26" s="125"/>
      <c r="BE26" s="125"/>
      <c r="BF26" s="125"/>
      <c r="BG26" s="125"/>
      <c r="BH26" s="125"/>
      <c r="BI26" s="125"/>
      <c r="BJ26" s="125"/>
      <c r="BK26" s="125"/>
      <c r="BL26" s="125"/>
      <c r="BM26" s="125"/>
      <c r="BN26" s="125"/>
      <c r="BO26" s="126"/>
    </row>
    <row r="27" spans="1:67" ht="14.25" customHeight="1">
      <c r="A27" s="107"/>
      <c r="B27" s="49"/>
      <c r="C27" s="84"/>
      <c r="D27" s="99"/>
      <c r="E27" s="109"/>
      <c r="F27" s="110"/>
      <c r="G27" s="116">
        <f t="shared" si="7"/>
        <v>45717</v>
      </c>
      <c r="H27" s="92">
        <f t="shared" si="6"/>
        <v>45718</v>
      </c>
      <c r="I27" s="112">
        <v>1</v>
      </c>
      <c r="J27" s="113"/>
      <c r="K27" s="114"/>
      <c r="L27" s="84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11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6"/>
    </row>
    <row r="28" spans="1:67" ht="14.25" customHeight="1">
      <c r="A28" s="107"/>
      <c r="B28" s="49"/>
      <c r="C28" s="84"/>
      <c r="D28" s="99"/>
      <c r="E28" s="109"/>
      <c r="F28" s="110"/>
      <c r="G28" s="116">
        <f t="shared" si="7"/>
        <v>45718</v>
      </c>
      <c r="H28" s="92">
        <f t="shared" si="6"/>
        <v>45720</v>
      </c>
      <c r="I28" s="112">
        <v>2</v>
      </c>
      <c r="J28" s="113"/>
      <c r="K28" s="114"/>
      <c r="L28" s="84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11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85"/>
      <c r="AS28" s="85"/>
      <c r="AT28" s="85"/>
      <c r="AU28" s="85"/>
      <c r="AV28" s="85"/>
      <c r="AW28" s="85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6"/>
    </row>
    <row r="29" spans="1:67" ht="14.25" customHeight="1">
      <c r="A29" s="107"/>
      <c r="B29" s="49"/>
      <c r="C29" s="84"/>
      <c r="D29" s="99"/>
      <c r="E29" s="109"/>
      <c r="F29" s="110"/>
      <c r="G29" s="116">
        <f t="shared" si="7"/>
        <v>45720</v>
      </c>
      <c r="H29" s="92">
        <f t="shared" si="6"/>
        <v>45721</v>
      </c>
      <c r="I29" s="112">
        <v>1</v>
      </c>
      <c r="J29" s="113"/>
      <c r="K29" s="114"/>
      <c r="L29" s="84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115"/>
      <c r="AD29" s="85"/>
      <c r="AE29" s="85"/>
      <c r="AF29" s="85"/>
      <c r="AG29" s="85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85"/>
      <c r="AS29" s="85"/>
      <c r="AT29" s="85"/>
      <c r="AU29" s="85"/>
      <c r="AV29" s="85"/>
      <c r="AW29" s="85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6"/>
    </row>
    <row r="30" spans="1:67" ht="14.25" customHeight="1">
      <c r="A30" s="107"/>
      <c r="B30" s="49"/>
      <c r="C30" s="84"/>
      <c r="D30" s="99"/>
      <c r="E30" s="109"/>
      <c r="F30" s="110"/>
      <c r="G30" s="116">
        <f t="shared" si="7"/>
        <v>45721</v>
      </c>
      <c r="H30" s="92">
        <f t="shared" si="6"/>
        <v>45721</v>
      </c>
      <c r="I30" s="112"/>
      <c r="J30" s="113"/>
      <c r="K30" s="114"/>
      <c r="L30" s="84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115"/>
      <c r="AD30" s="85"/>
      <c r="AE30" s="85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85"/>
      <c r="AS30" s="85"/>
      <c r="AT30" s="85"/>
      <c r="AU30" s="85"/>
      <c r="AV30" s="85"/>
      <c r="AW30" s="85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6"/>
    </row>
    <row r="31" spans="1:67" ht="14.25" customHeight="1">
      <c r="A31" s="107"/>
      <c r="B31" s="98"/>
      <c r="C31" s="84"/>
      <c r="D31" s="99"/>
      <c r="E31" s="109"/>
      <c r="F31" s="110"/>
      <c r="G31" s="116">
        <f t="shared" si="7"/>
        <v>45721</v>
      </c>
      <c r="H31" s="92">
        <f t="shared" si="6"/>
        <v>45721</v>
      </c>
      <c r="I31" s="112"/>
      <c r="J31" s="113"/>
      <c r="K31" s="114"/>
      <c r="L31" s="84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115"/>
      <c r="AD31" s="85"/>
      <c r="AE31" s="85"/>
      <c r="AF31" s="85"/>
      <c r="AG31" s="85"/>
      <c r="AH31" s="85"/>
      <c r="AI31" s="85"/>
      <c r="AJ31" s="85"/>
      <c r="AK31" s="85"/>
      <c r="AL31" s="85"/>
      <c r="AM31" s="85"/>
      <c r="AN31" s="85"/>
      <c r="AO31" s="85"/>
      <c r="AP31" s="85"/>
      <c r="AQ31" s="85"/>
      <c r="AR31" s="85"/>
      <c r="AS31" s="85"/>
      <c r="AT31" s="85"/>
      <c r="AU31" s="85"/>
      <c r="AV31" s="85"/>
      <c r="AW31" s="85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6"/>
    </row>
    <row r="32" spans="1:67" ht="14.25" customHeight="1">
      <c r="A32" s="107"/>
      <c r="B32" s="49"/>
      <c r="C32" s="99"/>
      <c r="D32" s="99"/>
      <c r="E32" s="109"/>
      <c r="F32" s="110"/>
      <c r="G32" s="116">
        <f t="shared" si="7"/>
        <v>45721</v>
      </c>
      <c r="H32" s="92">
        <f t="shared" si="6"/>
        <v>45726</v>
      </c>
      <c r="I32" s="103">
        <v>5</v>
      </c>
      <c r="J32" s="113"/>
      <c r="K32" s="114"/>
      <c r="L32" s="84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115"/>
      <c r="AD32" s="85"/>
      <c r="AE32" s="85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85"/>
      <c r="AS32" s="85"/>
      <c r="AT32" s="85"/>
      <c r="AU32" s="85"/>
      <c r="AV32" s="85"/>
      <c r="AW32" s="85"/>
      <c r="AX32" s="85"/>
      <c r="AY32" s="85"/>
      <c r="AZ32" s="85"/>
      <c r="BA32" s="85"/>
      <c r="BB32" s="85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6"/>
    </row>
    <row r="33" spans="1:67" ht="27" customHeight="1">
      <c r="A33" s="97"/>
      <c r="B33" s="98"/>
      <c r="C33" s="99"/>
      <c r="D33" s="99"/>
      <c r="E33" s="100"/>
      <c r="F33" s="101"/>
      <c r="G33" s="116">
        <f t="shared" si="7"/>
        <v>45726</v>
      </c>
      <c r="H33" s="92">
        <f t="shared" si="6"/>
        <v>45726</v>
      </c>
      <c r="I33" s="103"/>
      <c r="J33" s="104"/>
      <c r="K33" s="105"/>
      <c r="L33" s="99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  <c r="BO33" s="102"/>
    </row>
    <row r="34" spans="1:67" ht="14.25" customHeight="1">
      <c r="A34" s="97"/>
      <c r="B34" s="98"/>
      <c r="C34" s="99"/>
      <c r="D34" s="99"/>
      <c r="E34" s="100"/>
      <c r="F34" s="101"/>
      <c r="G34" s="116">
        <f t="shared" si="7"/>
        <v>45726</v>
      </c>
      <c r="H34" s="92">
        <f t="shared" si="6"/>
        <v>45736</v>
      </c>
      <c r="I34" s="103">
        <v>10</v>
      </c>
      <c r="J34" s="104"/>
      <c r="K34" s="105"/>
      <c r="L34" s="99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2"/>
    </row>
    <row r="35" spans="1:67" ht="14.25" customHeight="1">
      <c r="A35" s="118"/>
      <c r="B35" s="49"/>
      <c r="C35" s="84"/>
      <c r="D35" s="119"/>
      <c r="E35" s="120"/>
      <c r="F35" s="121"/>
      <c r="G35" s="116">
        <f t="shared" si="7"/>
        <v>45736</v>
      </c>
      <c r="H35" s="92">
        <f t="shared" si="6"/>
        <v>45736</v>
      </c>
      <c r="I35" s="122"/>
      <c r="J35" s="123"/>
      <c r="K35" s="124"/>
      <c r="L35" s="119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  <c r="AM35" s="125"/>
      <c r="AN35" s="125"/>
      <c r="AO35" s="125"/>
      <c r="AP35" s="125"/>
      <c r="AQ35" s="125"/>
      <c r="AR35" s="125"/>
      <c r="AS35" s="125"/>
      <c r="AT35" s="125"/>
      <c r="AU35" s="125"/>
      <c r="AV35" s="125"/>
      <c r="AW35" s="125"/>
      <c r="AX35" s="125"/>
      <c r="AY35" s="125"/>
      <c r="AZ35" s="125"/>
      <c r="BA35" s="125"/>
      <c r="BB35" s="125"/>
      <c r="BC35" s="125"/>
      <c r="BD35" s="125"/>
      <c r="BE35" s="125"/>
      <c r="BF35" s="125"/>
      <c r="BG35" s="125"/>
      <c r="BH35" s="125"/>
      <c r="BI35" s="125"/>
      <c r="BJ35" s="125"/>
      <c r="BK35" s="125"/>
      <c r="BL35" s="125"/>
      <c r="BM35" s="125"/>
      <c r="BN35" s="125"/>
      <c r="BO35" s="126"/>
    </row>
    <row r="36" spans="1:67" ht="14.25" customHeight="1">
      <c r="A36" s="118"/>
      <c r="C36" s="119"/>
      <c r="D36" s="119"/>
      <c r="E36" s="120"/>
      <c r="F36" s="121"/>
      <c r="G36" s="116">
        <f t="shared" si="7"/>
        <v>45736</v>
      </c>
      <c r="H36" s="92">
        <f t="shared" si="6"/>
        <v>45736</v>
      </c>
      <c r="I36" s="122"/>
      <c r="J36" s="123"/>
      <c r="K36" s="124"/>
      <c r="L36" s="119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  <c r="AI36" s="125"/>
      <c r="AJ36" s="125"/>
      <c r="AK36" s="125"/>
      <c r="AL36" s="125"/>
      <c r="AM36" s="125"/>
      <c r="AN36" s="125"/>
      <c r="AO36" s="125"/>
      <c r="AP36" s="125"/>
      <c r="AQ36" s="125"/>
      <c r="AR36" s="125"/>
      <c r="AS36" s="125"/>
      <c r="AT36" s="125"/>
      <c r="AU36" s="125"/>
      <c r="AV36" s="125"/>
      <c r="AW36" s="125"/>
      <c r="AX36" s="125"/>
      <c r="AY36" s="125"/>
      <c r="AZ36" s="125"/>
      <c r="BA36" s="125"/>
      <c r="BB36" s="125"/>
      <c r="BC36" s="125"/>
      <c r="BD36" s="125"/>
      <c r="BE36" s="125"/>
      <c r="BF36" s="125"/>
      <c r="BG36" s="125"/>
      <c r="BH36" s="125"/>
      <c r="BI36" s="125"/>
      <c r="BJ36" s="125"/>
      <c r="BK36" s="125"/>
      <c r="BL36" s="125"/>
      <c r="BM36" s="125"/>
      <c r="BN36" s="125"/>
      <c r="BO36" s="126"/>
    </row>
    <row r="37" spans="1:67" ht="14.25" customHeight="1">
      <c r="A37" s="118"/>
      <c r="B37" s="98"/>
      <c r="C37" s="119"/>
      <c r="D37" s="119"/>
      <c r="E37" s="120"/>
      <c r="F37" s="121"/>
      <c r="G37" s="116">
        <f t="shared" si="7"/>
        <v>45736</v>
      </c>
      <c r="H37" s="92">
        <f t="shared" si="6"/>
        <v>45736</v>
      </c>
      <c r="I37" s="122"/>
      <c r="J37" s="123"/>
      <c r="K37" s="124"/>
      <c r="L37" s="119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5"/>
      <c r="AF37" s="125"/>
      <c r="AG37" s="125"/>
      <c r="AH37" s="125"/>
      <c r="AI37" s="125"/>
      <c r="AJ37" s="125"/>
      <c r="AK37" s="125"/>
      <c r="AL37" s="125"/>
      <c r="AM37" s="125"/>
      <c r="AN37" s="125"/>
      <c r="AO37" s="125"/>
      <c r="AP37" s="125"/>
      <c r="AQ37" s="125"/>
      <c r="AR37" s="125"/>
      <c r="AS37" s="125"/>
      <c r="AT37" s="125"/>
      <c r="AU37" s="125"/>
      <c r="AV37" s="125"/>
      <c r="AW37" s="125"/>
      <c r="AX37" s="125"/>
      <c r="AY37" s="125"/>
      <c r="AZ37" s="125"/>
      <c r="BA37" s="125"/>
      <c r="BB37" s="125"/>
      <c r="BC37" s="125"/>
      <c r="BD37" s="125"/>
      <c r="BE37" s="125"/>
      <c r="BF37" s="125"/>
      <c r="BG37" s="125"/>
      <c r="BH37" s="125"/>
      <c r="BI37" s="125"/>
      <c r="BJ37" s="125"/>
      <c r="BK37" s="125"/>
      <c r="BL37" s="125"/>
      <c r="BM37" s="125"/>
      <c r="BN37" s="125"/>
      <c r="BO37" s="126"/>
    </row>
    <row r="38" spans="1:67" ht="14.25" customHeight="1">
      <c r="A38" s="118"/>
      <c r="B38" s="49"/>
      <c r="C38" s="119"/>
      <c r="D38" s="119"/>
      <c r="E38" s="120"/>
      <c r="F38" s="121"/>
      <c r="G38" s="116">
        <f t="shared" si="7"/>
        <v>45736</v>
      </c>
      <c r="H38" s="92">
        <f t="shared" si="6"/>
        <v>45736</v>
      </c>
      <c r="I38" s="122"/>
      <c r="J38" s="123"/>
      <c r="K38" s="124"/>
      <c r="L38" s="119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  <c r="AH38" s="125"/>
      <c r="AI38" s="125"/>
      <c r="AJ38" s="125"/>
      <c r="AK38" s="125"/>
      <c r="AL38" s="125"/>
      <c r="AM38" s="125"/>
      <c r="AN38" s="125"/>
      <c r="AO38" s="125"/>
      <c r="AP38" s="125"/>
      <c r="AQ38" s="125"/>
      <c r="AR38" s="125"/>
      <c r="AS38" s="125"/>
      <c r="AT38" s="125"/>
      <c r="AU38" s="125"/>
      <c r="AV38" s="125"/>
      <c r="AW38" s="125"/>
      <c r="AX38" s="125"/>
      <c r="AY38" s="125"/>
      <c r="AZ38" s="125"/>
      <c r="BA38" s="125"/>
      <c r="BB38" s="125"/>
      <c r="BC38" s="125"/>
      <c r="BD38" s="125"/>
      <c r="BE38" s="125"/>
      <c r="BF38" s="125"/>
      <c r="BG38" s="125"/>
      <c r="BH38" s="125"/>
      <c r="BI38" s="125"/>
      <c r="BJ38" s="125"/>
      <c r="BK38" s="125"/>
      <c r="BL38" s="125"/>
      <c r="BM38" s="125"/>
      <c r="BN38" s="125"/>
      <c r="BO38" s="126"/>
    </row>
    <row r="39" spans="1:67" ht="14.25" customHeight="1">
      <c r="A39" s="118"/>
      <c r="B39" s="49"/>
      <c r="C39" s="119"/>
      <c r="D39" s="119"/>
      <c r="E39" s="120"/>
      <c r="F39" s="121"/>
      <c r="G39" s="116">
        <f t="shared" si="7"/>
        <v>45736</v>
      </c>
      <c r="H39" s="127"/>
      <c r="I39" s="122"/>
      <c r="J39" s="123"/>
      <c r="K39" s="124"/>
      <c r="L39" s="119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5"/>
      <c r="AF39" s="125"/>
      <c r="AG39" s="125"/>
      <c r="AH39" s="125"/>
      <c r="AI39" s="125"/>
      <c r="AJ39" s="125"/>
      <c r="AK39" s="125"/>
      <c r="AL39" s="125"/>
      <c r="AM39" s="125"/>
      <c r="AN39" s="125"/>
      <c r="AO39" s="125"/>
      <c r="AP39" s="125"/>
      <c r="AQ39" s="125"/>
      <c r="AR39" s="125"/>
      <c r="AS39" s="125"/>
      <c r="AT39" s="125"/>
      <c r="AU39" s="125"/>
      <c r="AV39" s="125"/>
      <c r="AW39" s="125"/>
      <c r="AX39" s="125"/>
      <c r="AY39" s="125"/>
      <c r="AZ39" s="125"/>
      <c r="BA39" s="125"/>
      <c r="BB39" s="125"/>
      <c r="BC39" s="125"/>
      <c r="BD39" s="125"/>
      <c r="BE39" s="125"/>
      <c r="BF39" s="125"/>
      <c r="BG39" s="125"/>
      <c r="BH39" s="125"/>
      <c r="BI39" s="125"/>
      <c r="BJ39" s="125"/>
      <c r="BK39" s="125"/>
      <c r="BL39" s="125"/>
      <c r="BM39" s="125"/>
      <c r="BN39" s="125"/>
      <c r="BO39" s="126"/>
    </row>
    <row r="40" spans="1:67" ht="14.25" customHeight="1">
      <c r="A40" s="118"/>
      <c r="B40" s="49"/>
      <c r="C40" s="119"/>
      <c r="D40" s="119"/>
      <c r="E40" s="120"/>
      <c r="F40" s="121"/>
      <c r="G40" s="127"/>
      <c r="H40" s="127"/>
      <c r="I40" s="122"/>
      <c r="J40" s="123"/>
      <c r="K40" s="124"/>
      <c r="L40" s="119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5"/>
      <c r="AG40" s="125"/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AV40" s="125"/>
      <c r="AW40" s="125"/>
      <c r="AX40" s="125"/>
      <c r="AY40" s="125"/>
      <c r="AZ40" s="125"/>
      <c r="BA40" s="125"/>
      <c r="BB40" s="125"/>
      <c r="BC40" s="125"/>
      <c r="BD40" s="125"/>
      <c r="BE40" s="125"/>
      <c r="BF40" s="125"/>
      <c r="BG40" s="125"/>
      <c r="BH40" s="125"/>
      <c r="BI40" s="125"/>
      <c r="BJ40" s="125"/>
      <c r="BK40" s="125"/>
      <c r="BL40" s="125"/>
      <c r="BM40" s="125"/>
      <c r="BN40" s="125"/>
      <c r="BO40" s="126"/>
    </row>
    <row r="41" spans="1:67" ht="14.25" customHeight="1">
      <c r="A41" s="118"/>
      <c r="B41" s="49"/>
      <c r="C41" s="119"/>
      <c r="D41" s="119"/>
      <c r="E41" s="120"/>
      <c r="F41" s="121"/>
      <c r="G41" s="127"/>
      <c r="H41" s="127"/>
      <c r="I41" s="122"/>
      <c r="J41" s="123"/>
      <c r="K41" s="124"/>
      <c r="L41" s="119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  <c r="AF41" s="125"/>
      <c r="AG41" s="125"/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AV41" s="125"/>
      <c r="AW41" s="125"/>
      <c r="AX41" s="125"/>
      <c r="AY41" s="125"/>
      <c r="AZ41" s="125"/>
      <c r="BA41" s="125"/>
      <c r="BB41" s="125"/>
      <c r="BC41" s="125"/>
      <c r="BD41" s="125"/>
      <c r="BE41" s="125"/>
      <c r="BF41" s="125"/>
      <c r="BG41" s="125"/>
      <c r="BH41" s="125"/>
      <c r="BI41" s="125"/>
      <c r="BJ41" s="125"/>
      <c r="BK41" s="125"/>
      <c r="BL41" s="125"/>
      <c r="BM41" s="125"/>
      <c r="BN41" s="125"/>
      <c r="BO41" s="126"/>
    </row>
    <row r="42" spans="1:67" ht="14.25" customHeight="1">
      <c r="A42" s="118"/>
      <c r="B42" s="49"/>
      <c r="C42" s="119"/>
      <c r="D42" s="119"/>
      <c r="E42" s="120"/>
      <c r="F42" s="121"/>
      <c r="G42" s="127"/>
      <c r="H42" s="127"/>
      <c r="I42" s="122"/>
      <c r="J42" s="123"/>
      <c r="K42" s="124"/>
      <c r="L42" s="119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AV42" s="125"/>
      <c r="AW42" s="125"/>
      <c r="AX42" s="125"/>
      <c r="AY42" s="125"/>
      <c r="AZ42" s="125"/>
      <c r="BA42" s="125"/>
      <c r="BB42" s="125"/>
      <c r="BC42" s="125"/>
      <c r="BD42" s="125"/>
      <c r="BE42" s="125"/>
      <c r="BF42" s="125"/>
      <c r="BG42" s="125"/>
      <c r="BH42" s="125"/>
      <c r="BI42" s="125"/>
      <c r="BJ42" s="125"/>
      <c r="BK42" s="125"/>
      <c r="BL42" s="125"/>
      <c r="BM42" s="125"/>
      <c r="BN42" s="125"/>
      <c r="BO42" s="126"/>
    </row>
    <row r="43" spans="1:67" ht="14.25" customHeight="1">
      <c r="A43" s="118"/>
      <c r="B43" s="49"/>
      <c r="C43" s="119"/>
      <c r="D43" s="119"/>
      <c r="E43" s="120"/>
      <c r="F43" s="121"/>
      <c r="G43" s="127"/>
      <c r="H43" s="127"/>
      <c r="I43" s="122"/>
      <c r="J43" s="123"/>
      <c r="K43" s="124"/>
      <c r="L43" s="119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AV43" s="125"/>
      <c r="AW43" s="125"/>
      <c r="AX43" s="125"/>
      <c r="AY43" s="125"/>
      <c r="AZ43" s="125"/>
      <c r="BA43" s="125"/>
      <c r="BB43" s="125"/>
      <c r="BC43" s="125"/>
      <c r="BD43" s="125"/>
      <c r="BE43" s="125"/>
      <c r="BF43" s="125"/>
      <c r="BG43" s="125"/>
      <c r="BH43" s="125"/>
      <c r="BI43" s="125"/>
      <c r="BJ43" s="125"/>
      <c r="BK43" s="125"/>
      <c r="BL43" s="125"/>
      <c r="BM43" s="125"/>
      <c r="BN43" s="125"/>
      <c r="BO43" s="126"/>
    </row>
    <row r="44" spans="1:67" ht="14.25" customHeight="1">
      <c r="A44" s="118"/>
      <c r="B44" s="49"/>
      <c r="C44" s="119"/>
      <c r="D44" s="119"/>
      <c r="E44" s="120"/>
      <c r="F44" s="121"/>
      <c r="G44" s="127"/>
      <c r="H44" s="127"/>
      <c r="I44" s="122"/>
      <c r="J44" s="123"/>
      <c r="K44" s="124"/>
      <c r="L44" s="119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AV44" s="125"/>
      <c r="AW44" s="125"/>
      <c r="AX44" s="125"/>
      <c r="AY44" s="125"/>
      <c r="AZ44" s="125"/>
      <c r="BA44" s="125"/>
      <c r="BB44" s="125"/>
      <c r="BC44" s="125"/>
      <c r="BD44" s="125"/>
      <c r="BE44" s="125"/>
      <c r="BF44" s="125"/>
      <c r="BG44" s="125"/>
      <c r="BH44" s="125"/>
      <c r="BI44" s="125"/>
      <c r="BJ44" s="125"/>
      <c r="BK44" s="125"/>
      <c r="BL44" s="125"/>
      <c r="BM44" s="125"/>
      <c r="BN44" s="125"/>
      <c r="BO44" s="126"/>
    </row>
    <row r="45" spans="1:67" ht="14.25" customHeight="1">
      <c r="A45" s="107"/>
      <c r="B45" s="49"/>
      <c r="C45" s="84"/>
      <c r="D45" s="84"/>
      <c r="E45" s="109"/>
      <c r="F45" s="110"/>
      <c r="G45" s="127"/>
      <c r="H45" s="127"/>
      <c r="I45" s="112"/>
      <c r="J45" s="113"/>
      <c r="K45" s="114"/>
      <c r="L45" s="84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  <c r="AG45" s="85"/>
      <c r="AH45" s="85"/>
      <c r="AI45" s="85"/>
      <c r="AJ45" s="85"/>
      <c r="AK45" s="85"/>
      <c r="AL45" s="85"/>
      <c r="AM45" s="85"/>
      <c r="AN45" s="85"/>
      <c r="AO45" s="85"/>
      <c r="AP45" s="85"/>
      <c r="AQ45" s="85"/>
      <c r="AR45" s="85"/>
      <c r="AS45" s="85"/>
      <c r="AT45" s="85"/>
      <c r="AU45" s="85"/>
      <c r="AV45" s="85"/>
      <c r="AW45" s="85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6"/>
    </row>
    <row r="46" spans="1:67" ht="14.25" customHeight="1">
      <c r="A46" s="97"/>
      <c r="B46" s="98"/>
      <c r="C46" s="99"/>
      <c r="D46" s="99"/>
      <c r="E46" s="100"/>
      <c r="F46" s="101"/>
      <c r="G46" s="111"/>
      <c r="H46" s="127"/>
      <c r="I46" s="103"/>
      <c r="J46" s="104"/>
      <c r="K46" s="105"/>
      <c r="L46" s="99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2"/>
    </row>
    <row r="47" spans="1:67" ht="14.25" customHeight="1">
      <c r="A47" s="107"/>
      <c r="B47" s="49"/>
      <c r="C47" s="84"/>
      <c r="D47" s="84"/>
      <c r="E47" s="109"/>
      <c r="F47" s="110"/>
      <c r="G47" s="116"/>
      <c r="H47" s="127"/>
      <c r="I47" s="112"/>
      <c r="J47" s="113"/>
      <c r="K47" s="114"/>
      <c r="L47" s="84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  <c r="AI47" s="85"/>
      <c r="AJ47" s="85"/>
      <c r="AK47" s="85"/>
      <c r="AL47" s="85"/>
      <c r="AM47" s="85"/>
      <c r="AN47" s="85"/>
      <c r="AO47" s="85"/>
      <c r="AP47" s="85"/>
      <c r="AQ47" s="85"/>
      <c r="AR47" s="85"/>
      <c r="AS47" s="85"/>
      <c r="AT47" s="85"/>
      <c r="AU47" s="85"/>
      <c r="AV47" s="85"/>
      <c r="AW47" s="85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6"/>
    </row>
    <row r="48" spans="1:67" ht="14.25" customHeight="1">
      <c r="A48" s="107"/>
      <c r="B48" s="49"/>
      <c r="C48" s="84"/>
      <c r="D48" s="84"/>
      <c r="E48" s="109"/>
      <c r="F48" s="110"/>
      <c r="G48" s="116"/>
      <c r="H48" s="127"/>
      <c r="I48" s="112"/>
      <c r="J48" s="113"/>
      <c r="K48" s="114"/>
      <c r="L48" s="84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  <c r="AG48" s="85"/>
      <c r="AH48" s="85"/>
      <c r="AI48" s="85"/>
      <c r="AJ48" s="85"/>
      <c r="AK48" s="85"/>
      <c r="AL48" s="85"/>
      <c r="AM48" s="85"/>
      <c r="AN48" s="85"/>
      <c r="AO48" s="85"/>
      <c r="AP48" s="85"/>
      <c r="AQ48" s="85"/>
      <c r="AR48" s="85"/>
      <c r="AS48" s="85"/>
      <c r="AT48" s="85"/>
      <c r="AU48" s="85"/>
      <c r="AV48" s="85"/>
      <c r="AW48" s="85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6"/>
    </row>
    <row r="49" spans="1:67" ht="14.25" customHeight="1">
      <c r="A49" s="107"/>
      <c r="B49" s="49"/>
      <c r="C49" s="84"/>
      <c r="D49" s="84"/>
      <c r="E49" s="109"/>
      <c r="F49" s="110"/>
      <c r="G49" s="116"/>
      <c r="H49" s="127"/>
      <c r="I49" s="112"/>
      <c r="J49" s="113"/>
      <c r="K49" s="114"/>
      <c r="L49" s="84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  <c r="AG49" s="85"/>
      <c r="AH49" s="85"/>
      <c r="AI49" s="85"/>
      <c r="AJ49" s="85"/>
      <c r="AK49" s="85"/>
      <c r="AL49" s="85"/>
      <c r="AM49" s="85"/>
      <c r="AN49" s="85"/>
      <c r="AO49" s="85"/>
      <c r="AP49" s="85"/>
      <c r="AQ49" s="85"/>
      <c r="AR49" s="85"/>
      <c r="AS49" s="85"/>
      <c r="AT49" s="85"/>
      <c r="AU49" s="85"/>
      <c r="AV49" s="85"/>
      <c r="AW49" s="85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6"/>
    </row>
    <row r="50" spans="1:67" ht="14.25" customHeight="1">
      <c r="A50" s="107"/>
      <c r="B50" s="49"/>
      <c r="C50" s="84"/>
      <c r="D50" s="84"/>
      <c r="E50" s="109"/>
      <c r="F50" s="110"/>
      <c r="G50" s="116"/>
      <c r="H50" s="127"/>
      <c r="I50" s="112"/>
      <c r="J50" s="113"/>
      <c r="K50" s="114"/>
      <c r="L50" s="84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  <c r="AI50" s="85"/>
      <c r="AJ50" s="85"/>
      <c r="AK50" s="85"/>
      <c r="AL50" s="85"/>
      <c r="AM50" s="85"/>
      <c r="AN50" s="85"/>
      <c r="AO50" s="85"/>
      <c r="AP50" s="85"/>
      <c r="AQ50" s="85"/>
      <c r="AR50" s="85"/>
      <c r="AS50" s="85"/>
      <c r="AT50" s="85"/>
      <c r="AU50" s="85"/>
      <c r="AV50" s="85"/>
      <c r="AW50" s="85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6"/>
    </row>
    <row r="51" spans="1:67" ht="14.25" customHeight="1">
      <c r="A51" s="107"/>
      <c r="B51" s="49"/>
      <c r="C51" s="99"/>
      <c r="D51" s="99"/>
      <c r="E51" s="109"/>
      <c r="F51" s="110"/>
      <c r="G51" s="116"/>
      <c r="H51" s="127"/>
      <c r="I51" s="112"/>
      <c r="J51" s="113"/>
      <c r="K51" s="114"/>
      <c r="L51" s="84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115"/>
      <c r="AD51" s="85"/>
      <c r="AE51" s="85"/>
      <c r="AF51" s="85"/>
      <c r="AG51" s="85"/>
      <c r="AH51" s="85"/>
      <c r="AI51" s="85"/>
      <c r="AJ51" s="85"/>
      <c r="AK51" s="85"/>
      <c r="AL51" s="85"/>
      <c r="AM51" s="85"/>
      <c r="AN51" s="85"/>
      <c r="AO51" s="85"/>
      <c r="AP51" s="85"/>
      <c r="AQ51" s="85"/>
      <c r="AR51" s="85"/>
      <c r="AS51" s="85"/>
      <c r="AT51" s="85"/>
      <c r="AU51" s="85"/>
      <c r="AV51" s="85"/>
      <c r="AW51" s="85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6"/>
    </row>
    <row r="52" spans="1:67" ht="14.25" customHeight="1">
      <c r="A52" s="87"/>
      <c r="B52" s="88"/>
      <c r="C52" s="89"/>
      <c r="D52" s="128"/>
      <c r="E52" s="90"/>
      <c r="F52" s="91"/>
      <c r="G52" s="92"/>
      <c r="H52" s="92"/>
      <c r="I52" s="93"/>
      <c r="J52" s="113"/>
      <c r="K52" s="114"/>
      <c r="L52" s="84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  <c r="AI52" s="8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85"/>
      <c r="AU52" s="85"/>
      <c r="AV52" s="85"/>
      <c r="AW52" s="85"/>
      <c r="AX52" s="85"/>
      <c r="AY52" s="85"/>
      <c r="AZ52" s="85"/>
      <c r="BA52" s="85"/>
      <c r="BB52" s="85"/>
      <c r="BC52" s="85"/>
      <c r="BD52" s="85"/>
      <c r="BE52" s="85"/>
      <c r="BF52" s="85"/>
      <c r="BG52" s="85"/>
      <c r="BH52" s="85"/>
      <c r="BI52" s="85"/>
      <c r="BJ52" s="85"/>
      <c r="BK52" s="85"/>
      <c r="BL52" s="85"/>
      <c r="BM52" s="85"/>
      <c r="BN52" s="85"/>
      <c r="BO52" s="86"/>
    </row>
    <row r="53" spans="1:67" ht="14.25" customHeight="1">
      <c r="A53" s="129"/>
      <c r="B53" s="130"/>
      <c r="C53" s="131"/>
      <c r="D53" s="131"/>
      <c r="E53" s="132"/>
      <c r="F53" s="133"/>
      <c r="G53" s="134"/>
      <c r="H53" s="134"/>
      <c r="I53" s="135"/>
      <c r="J53" s="113"/>
      <c r="K53" s="114"/>
      <c r="L53" s="84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  <c r="AG53" s="85"/>
      <c r="AH53" s="85"/>
      <c r="AI53" s="85"/>
      <c r="AJ53" s="85"/>
      <c r="AK53" s="85"/>
      <c r="AL53" s="85"/>
      <c r="AM53" s="85"/>
      <c r="AN53" s="85"/>
      <c r="AO53" s="85"/>
      <c r="AP53" s="85"/>
      <c r="AQ53" s="85"/>
      <c r="AR53" s="85"/>
      <c r="AS53" s="85"/>
      <c r="AT53" s="85"/>
      <c r="AU53" s="85"/>
      <c r="AV53" s="85"/>
      <c r="AW53" s="85"/>
      <c r="AX53" s="85"/>
      <c r="AY53" s="85"/>
      <c r="AZ53" s="85"/>
      <c r="BA53" s="85"/>
      <c r="BB53" s="85"/>
      <c r="BC53" s="85"/>
      <c r="BD53" s="85"/>
      <c r="BE53" s="85"/>
      <c r="BF53" s="85"/>
      <c r="BG53" s="85"/>
      <c r="BH53" s="85"/>
      <c r="BI53" s="85"/>
      <c r="BJ53" s="85"/>
      <c r="BK53" s="85"/>
      <c r="BL53" s="85"/>
      <c r="BM53" s="85"/>
      <c r="BN53" s="85"/>
      <c r="BO53" s="86"/>
    </row>
    <row r="54" spans="1:67" ht="14.25" customHeight="1">
      <c r="A54" s="107"/>
      <c r="B54" s="98"/>
      <c r="C54" s="84"/>
      <c r="D54" s="99"/>
      <c r="E54" s="136"/>
      <c r="F54" s="110"/>
      <c r="G54" s="111"/>
      <c r="H54" s="111"/>
      <c r="I54" s="103"/>
      <c r="J54" s="113"/>
      <c r="K54" s="114"/>
      <c r="L54" s="84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115"/>
      <c r="AD54" s="85"/>
      <c r="AE54" s="85"/>
      <c r="AF54" s="85"/>
      <c r="AG54" s="85"/>
      <c r="AH54" s="85"/>
      <c r="AI54" s="85"/>
      <c r="AJ54" s="85"/>
      <c r="AK54" s="85"/>
      <c r="AL54" s="85"/>
      <c r="AM54" s="85"/>
      <c r="AN54" s="85"/>
      <c r="AO54" s="85"/>
      <c r="AP54" s="85"/>
      <c r="AQ54" s="85"/>
      <c r="AR54" s="85"/>
      <c r="AS54" s="85"/>
      <c r="AT54" s="85"/>
      <c r="AU54" s="85"/>
      <c r="AV54" s="85"/>
      <c r="AW54" s="85"/>
      <c r="AX54" s="85"/>
      <c r="AY54" s="85"/>
      <c r="AZ54" s="85"/>
      <c r="BA54" s="85"/>
      <c r="BB54" s="85"/>
      <c r="BC54" s="85"/>
      <c r="BD54" s="85"/>
      <c r="BE54" s="85"/>
      <c r="BF54" s="85"/>
      <c r="BG54" s="85"/>
      <c r="BH54" s="85"/>
      <c r="BI54" s="85"/>
      <c r="BJ54" s="85"/>
      <c r="BK54" s="85"/>
      <c r="BL54" s="85"/>
      <c r="BM54" s="85"/>
      <c r="BN54" s="85"/>
      <c r="BO54" s="86"/>
    </row>
    <row r="55" spans="1:67" ht="14.25" customHeight="1">
      <c r="A55" s="107"/>
      <c r="B55" s="98"/>
      <c r="C55" s="84"/>
      <c r="D55" s="99"/>
      <c r="E55" s="136"/>
      <c r="F55" s="110"/>
      <c r="G55" s="111"/>
      <c r="H55" s="111"/>
      <c r="I55" s="103"/>
      <c r="J55" s="113"/>
      <c r="K55" s="114"/>
      <c r="L55" s="84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115"/>
      <c r="AD55" s="85"/>
      <c r="AE55" s="85"/>
      <c r="AF55" s="85"/>
      <c r="AG55" s="85"/>
      <c r="AH55" s="85"/>
      <c r="AI55" s="85"/>
      <c r="AJ55" s="85"/>
      <c r="AK55" s="85"/>
      <c r="AL55" s="85"/>
      <c r="AM55" s="85"/>
      <c r="AN55" s="85"/>
      <c r="AO55" s="85"/>
      <c r="AP55" s="85"/>
      <c r="AQ55" s="85"/>
      <c r="AR55" s="85"/>
      <c r="AS55" s="85"/>
      <c r="AT55" s="85"/>
      <c r="AU55" s="85"/>
      <c r="AV55" s="85"/>
      <c r="AW55" s="85"/>
      <c r="AX55" s="85"/>
      <c r="AY55" s="85"/>
      <c r="AZ55" s="85"/>
      <c r="BA55" s="85"/>
      <c r="BB55" s="85"/>
      <c r="BC55" s="85"/>
      <c r="BD55" s="85"/>
      <c r="BE55" s="85"/>
      <c r="BF55" s="85"/>
      <c r="BG55" s="85"/>
      <c r="BH55" s="85"/>
      <c r="BI55" s="85"/>
      <c r="BJ55" s="85"/>
      <c r="BK55" s="85"/>
      <c r="BL55" s="85"/>
      <c r="BM55" s="85"/>
      <c r="BN55" s="85"/>
      <c r="BO55" s="86"/>
    </row>
    <row r="56" spans="1:67" ht="14.25" customHeight="1">
      <c r="A56" s="107"/>
      <c r="B56" s="98"/>
      <c r="C56" s="84"/>
      <c r="D56" s="99"/>
      <c r="E56" s="136"/>
      <c r="F56" s="110"/>
      <c r="G56" s="111"/>
      <c r="H56" s="111"/>
      <c r="I56" s="103"/>
      <c r="J56" s="113"/>
      <c r="K56" s="114"/>
      <c r="L56" s="84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115"/>
      <c r="AD56" s="85"/>
      <c r="AE56" s="85"/>
      <c r="AF56" s="85"/>
      <c r="AG56" s="85"/>
      <c r="AH56" s="85"/>
      <c r="AI56" s="85"/>
      <c r="AJ56" s="85"/>
      <c r="AK56" s="85"/>
      <c r="AL56" s="85"/>
      <c r="AM56" s="85"/>
      <c r="AN56" s="85"/>
      <c r="AO56" s="85"/>
      <c r="AP56" s="85"/>
      <c r="AQ56" s="85"/>
      <c r="AR56" s="85"/>
      <c r="AS56" s="85"/>
      <c r="AT56" s="85"/>
      <c r="AU56" s="85"/>
      <c r="AV56" s="85"/>
      <c r="AW56" s="85"/>
      <c r="AX56" s="85"/>
      <c r="AY56" s="85"/>
      <c r="AZ56" s="85"/>
      <c r="BA56" s="85"/>
      <c r="BB56" s="85"/>
      <c r="BC56" s="85"/>
      <c r="BD56" s="85"/>
      <c r="BE56" s="85"/>
      <c r="BF56" s="85"/>
      <c r="BG56" s="85"/>
      <c r="BH56" s="85"/>
      <c r="BI56" s="85"/>
      <c r="BJ56" s="85"/>
      <c r="BK56" s="85"/>
      <c r="BL56" s="85"/>
      <c r="BM56" s="85"/>
      <c r="BN56" s="85"/>
      <c r="BO56" s="86"/>
    </row>
    <row r="57" spans="1:67" ht="14.25" customHeight="1">
      <c r="A57" s="107"/>
      <c r="B57" s="98"/>
      <c r="C57" s="84"/>
      <c r="D57" s="99"/>
      <c r="E57" s="136"/>
      <c r="F57" s="110"/>
      <c r="G57" s="111"/>
      <c r="H57" s="111"/>
      <c r="I57" s="103"/>
      <c r="J57" s="113"/>
      <c r="K57" s="114"/>
      <c r="L57" s="84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115"/>
      <c r="AD57" s="85"/>
      <c r="AE57" s="85"/>
      <c r="AF57" s="85"/>
      <c r="AG57" s="85"/>
      <c r="AH57" s="85"/>
      <c r="AI57" s="85"/>
      <c r="AJ57" s="85"/>
      <c r="AK57" s="85"/>
      <c r="AL57" s="85"/>
      <c r="AM57" s="85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85"/>
      <c r="BI57" s="85"/>
      <c r="BJ57" s="85"/>
      <c r="BK57" s="85"/>
      <c r="BL57" s="85"/>
      <c r="BM57" s="85"/>
      <c r="BN57" s="85"/>
      <c r="BO57" s="86"/>
    </row>
    <row r="58" spans="1:67" ht="14.25" customHeight="1">
      <c r="A58" s="107"/>
      <c r="B58" s="98"/>
      <c r="C58" s="84"/>
      <c r="D58" s="99"/>
      <c r="E58" s="136"/>
      <c r="F58" s="110"/>
      <c r="G58" s="116"/>
      <c r="H58" s="116"/>
      <c r="I58" s="112"/>
      <c r="J58" s="113"/>
      <c r="K58" s="114"/>
      <c r="L58" s="84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  <c r="AI58" s="85"/>
      <c r="AJ58" s="85"/>
      <c r="AK58" s="85"/>
      <c r="AL58" s="85"/>
      <c r="AM58" s="85"/>
      <c r="AN58" s="85"/>
      <c r="AO58" s="85"/>
      <c r="AP58" s="85"/>
      <c r="AQ58" s="85"/>
      <c r="AR58" s="85"/>
      <c r="AS58" s="85"/>
      <c r="AT58" s="85"/>
      <c r="AU58" s="85"/>
      <c r="AV58" s="85"/>
      <c r="AW58" s="85"/>
      <c r="AX58" s="85"/>
      <c r="AY58" s="85"/>
      <c r="AZ58" s="85"/>
      <c r="BA58" s="85"/>
      <c r="BB58" s="85"/>
      <c r="BC58" s="85"/>
      <c r="BD58" s="85"/>
      <c r="BE58" s="85"/>
      <c r="BF58" s="85"/>
      <c r="BG58" s="85"/>
      <c r="BH58" s="85"/>
      <c r="BI58" s="85"/>
      <c r="BJ58" s="85"/>
      <c r="BK58" s="85"/>
      <c r="BL58" s="85"/>
      <c r="BM58" s="85"/>
      <c r="BN58" s="85"/>
      <c r="BO58" s="86"/>
    </row>
    <row r="59" spans="1:67" ht="14.25" customHeight="1">
      <c r="A59" s="107"/>
      <c r="B59" s="98"/>
      <c r="C59" s="99"/>
      <c r="D59" s="99"/>
      <c r="E59" s="109"/>
      <c r="F59" s="110"/>
      <c r="G59" s="116"/>
      <c r="H59" s="116"/>
      <c r="I59" s="112"/>
      <c r="J59" s="113"/>
      <c r="K59" s="114"/>
      <c r="L59" s="84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  <c r="AG59" s="85"/>
      <c r="AH59" s="85"/>
      <c r="AI59" s="85"/>
      <c r="AJ59" s="85"/>
      <c r="AK59" s="85"/>
      <c r="AL59" s="85"/>
      <c r="AM59" s="85"/>
      <c r="AN59" s="85"/>
      <c r="AO59" s="85"/>
      <c r="AP59" s="85"/>
      <c r="AQ59" s="85"/>
      <c r="AR59" s="85"/>
      <c r="AS59" s="85"/>
      <c r="AT59" s="85"/>
      <c r="AU59" s="85"/>
      <c r="AV59" s="85"/>
      <c r="AW59" s="85"/>
      <c r="AX59" s="85"/>
      <c r="AY59" s="85"/>
      <c r="AZ59" s="85"/>
      <c r="BA59" s="85"/>
      <c r="BB59" s="85"/>
      <c r="BC59" s="85"/>
      <c r="BD59" s="85"/>
      <c r="BE59" s="85"/>
      <c r="BF59" s="85"/>
      <c r="BG59" s="85"/>
      <c r="BH59" s="85"/>
      <c r="BI59" s="85"/>
      <c r="BJ59" s="85"/>
      <c r="BK59" s="85"/>
      <c r="BL59" s="85"/>
      <c r="BM59" s="85"/>
      <c r="BN59" s="85"/>
      <c r="BO59" s="86"/>
    </row>
    <row r="60" spans="1:67" ht="14.25" customHeight="1">
      <c r="A60" s="107"/>
      <c r="B60" s="98"/>
      <c r="C60" s="99"/>
      <c r="D60" s="99"/>
      <c r="E60" s="109"/>
      <c r="F60" s="110"/>
      <c r="G60" s="116"/>
      <c r="H60" s="116"/>
      <c r="I60" s="112"/>
      <c r="J60" s="113"/>
      <c r="K60" s="114"/>
      <c r="L60" s="84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  <c r="AG60" s="85"/>
      <c r="AH60" s="85"/>
      <c r="AI60" s="85"/>
      <c r="AJ60" s="85"/>
      <c r="AK60" s="85"/>
      <c r="AL60" s="85"/>
      <c r="AM60" s="85"/>
      <c r="AN60" s="85"/>
      <c r="AO60" s="85"/>
      <c r="AP60" s="85"/>
      <c r="AQ60" s="85"/>
      <c r="AR60" s="85"/>
      <c r="AS60" s="85"/>
      <c r="AT60" s="85"/>
      <c r="AU60" s="85"/>
      <c r="AV60" s="85"/>
      <c r="AW60" s="85"/>
      <c r="AX60" s="85"/>
      <c r="AY60" s="85"/>
      <c r="AZ60" s="85"/>
      <c r="BA60" s="85"/>
      <c r="BB60" s="85"/>
      <c r="BC60" s="85"/>
      <c r="BD60" s="85"/>
      <c r="BE60" s="85"/>
      <c r="BF60" s="85"/>
      <c r="BG60" s="85"/>
      <c r="BH60" s="85"/>
      <c r="BI60" s="85"/>
      <c r="BJ60" s="85"/>
      <c r="BK60" s="85"/>
      <c r="BL60" s="85"/>
      <c r="BM60" s="85"/>
      <c r="BN60" s="85"/>
      <c r="BO60" s="86"/>
    </row>
    <row r="61" spans="1:67" ht="14.25" customHeight="1">
      <c r="A61" s="107"/>
      <c r="B61" s="49"/>
      <c r="C61" s="84"/>
      <c r="D61" s="84"/>
      <c r="E61" s="109"/>
      <c r="F61" s="110"/>
      <c r="G61" s="116"/>
      <c r="H61" s="116"/>
      <c r="I61" s="112"/>
      <c r="J61" s="113"/>
      <c r="K61" s="114"/>
      <c r="L61" s="84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  <c r="AG61" s="85"/>
      <c r="AH61" s="85"/>
      <c r="AI61" s="85"/>
      <c r="AJ61" s="85"/>
      <c r="AK61" s="85"/>
      <c r="AL61" s="85"/>
      <c r="AM61" s="85"/>
      <c r="AN61" s="85"/>
      <c r="AO61" s="85"/>
      <c r="AP61" s="85"/>
      <c r="AQ61" s="85"/>
      <c r="AR61" s="85"/>
      <c r="AS61" s="85"/>
      <c r="AT61" s="85"/>
      <c r="AU61" s="85"/>
      <c r="AV61" s="85"/>
      <c r="AW61" s="85"/>
      <c r="AX61" s="85"/>
      <c r="AY61" s="85"/>
      <c r="AZ61" s="85"/>
      <c r="BA61" s="85"/>
      <c r="BB61" s="85"/>
      <c r="BC61" s="85"/>
      <c r="BD61" s="85"/>
      <c r="BE61" s="85"/>
      <c r="BF61" s="85"/>
      <c r="BG61" s="85"/>
      <c r="BH61" s="85"/>
      <c r="BI61" s="85"/>
      <c r="BJ61" s="85"/>
      <c r="BK61" s="85"/>
      <c r="BL61" s="85"/>
      <c r="BM61" s="85"/>
      <c r="BN61" s="85"/>
      <c r="BO61" s="86"/>
    </row>
    <row r="62" spans="1:67" ht="14.25" customHeight="1">
      <c r="A62" s="107"/>
      <c r="B62" s="49"/>
      <c r="C62" s="84"/>
      <c r="D62" s="84"/>
      <c r="E62" s="137"/>
      <c r="F62" s="110"/>
      <c r="G62" s="111"/>
      <c r="H62" s="111"/>
      <c r="I62" s="112"/>
      <c r="J62" s="113"/>
      <c r="K62" s="114"/>
      <c r="L62" s="84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85"/>
      <c r="AM62" s="85"/>
      <c r="AN62" s="85"/>
      <c r="AO62" s="85"/>
      <c r="AP62" s="85"/>
      <c r="AQ62" s="85"/>
      <c r="AR62" s="85"/>
      <c r="AS62" s="85"/>
      <c r="AT62" s="85"/>
      <c r="AU62" s="85"/>
      <c r="AV62" s="85"/>
      <c r="AW62" s="85"/>
      <c r="AX62" s="85"/>
      <c r="AY62" s="85"/>
      <c r="AZ62" s="85"/>
      <c r="BA62" s="85"/>
      <c r="BB62" s="85"/>
      <c r="BC62" s="85"/>
      <c r="BD62" s="85"/>
      <c r="BE62" s="85"/>
      <c r="BF62" s="85"/>
      <c r="BG62" s="85"/>
      <c r="BH62" s="85"/>
      <c r="BI62" s="85"/>
      <c r="BJ62" s="85"/>
      <c r="BK62" s="85"/>
      <c r="BL62" s="85"/>
      <c r="BM62" s="85"/>
      <c r="BN62" s="85"/>
      <c r="BO62" s="86"/>
    </row>
    <row r="63" spans="1:67" ht="14.25" customHeight="1">
      <c r="A63" s="107"/>
      <c r="B63" s="49"/>
      <c r="C63" s="84"/>
      <c r="D63" s="84"/>
      <c r="E63" s="109"/>
      <c r="F63" s="110"/>
      <c r="G63" s="116"/>
      <c r="H63" s="111"/>
      <c r="I63" s="112"/>
      <c r="J63" s="113"/>
      <c r="K63" s="114"/>
      <c r="L63" s="84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  <c r="AG63" s="85"/>
      <c r="AH63" s="85"/>
      <c r="AI63" s="85"/>
      <c r="AJ63" s="85"/>
      <c r="AK63" s="85"/>
      <c r="AL63" s="85"/>
      <c r="AM63" s="85"/>
      <c r="AN63" s="85"/>
      <c r="AO63" s="85"/>
      <c r="AP63" s="85"/>
      <c r="AQ63" s="85"/>
      <c r="AR63" s="85"/>
      <c r="AS63" s="85"/>
      <c r="AT63" s="85"/>
      <c r="AU63" s="85"/>
      <c r="AV63" s="85"/>
      <c r="AW63" s="85"/>
      <c r="AX63" s="85"/>
      <c r="AY63" s="85"/>
      <c r="AZ63" s="85"/>
      <c r="BA63" s="85"/>
      <c r="BB63" s="85"/>
      <c r="BC63" s="85"/>
      <c r="BD63" s="85"/>
      <c r="BE63" s="85"/>
      <c r="BF63" s="85"/>
      <c r="BG63" s="85"/>
      <c r="BH63" s="85"/>
      <c r="BI63" s="85"/>
      <c r="BJ63" s="85"/>
      <c r="BK63" s="85"/>
      <c r="BL63" s="85"/>
      <c r="BM63" s="85"/>
      <c r="BN63" s="85"/>
      <c r="BO63" s="86"/>
    </row>
    <row r="64" spans="1:67" ht="14.25" customHeight="1">
      <c r="A64" s="107"/>
      <c r="B64" s="98"/>
      <c r="C64" s="99"/>
      <c r="D64" s="99"/>
      <c r="E64" s="109"/>
      <c r="F64" s="110"/>
      <c r="G64" s="116"/>
      <c r="H64" s="111"/>
      <c r="I64" s="112"/>
      <c r="J64" s="113"/>
      <c r="K64" s="114"/>
      <c r="L64" s="84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  <c r="AG64" s="85"/>
      <c r="AH64" s="85"/>
      <c r="AI64" s="85"/>
      <c r="AJ64" s="85"/>
      <c r="AK64" s="85"/>
      <c r="AL64" s="85"/>
      <c r="AM64" s="85"/>
      <c r="AN64" s="85"/>
      <c r="AO64" s="85"/>
      <c r="AP64" s="85"/>
      <c r="AQ64" s="85"/>
      <c r="AR64" s="85"/>
      <c r="AS64" s="85"/>
      <c r="AT64" s="85"/>
      <c r="AU64" s="85"/>
      <c r="AV64" s="85"/>
      <c r="AW64" s="85"/>
      <c r="AX64" s="85"/>
      <c r="AY64" s="85"/>
      <c r="AZ64" s="85"/>
      <c r="BA64" s="85"/>
      <c r="BB64" s="85"/>
      <c r="BC64" s="85"/>
      <c r="BD64" s="85"/>
      <c r="BE64" s="85"/>
      <c r="BF64" s="85"/>
      <c r="BG64" s="85"/>
      <c r="BH64" s="85"/>
      <c r="BI64" s="85"/>
      <c r="BJ64" s="85"/>
      <c r="BK64" s="85"/>
      <c r="BL64" s="85"/>
      <c r="BM64" s="85"/>
      <c r="BN64" s="85"/>
      <c r="BO64" s="86"/>
    </row>
    <row r="65" spans="1:67" ht="14.25" customHeight="1">
      <c r="A65" s="138"/>
      <c r="B65" s="139"/>
      <c r="C65" s="140"/>
      <c r="D65" s="140"/>
      <c r="E65" s="141"/>
      <c r="F65" s="142"/>
      <c r="G65" s="143"/>
      <c r="H65" s="143"/>
      <c r="I65" s="144"/>
      <c r="J65" s="113"/>
      <c r="K65" s="114"/>
      <c r="L65" s="84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  <c r="AG65" s="85"/>
      <c r="AH65" s="85"/>
      <c r="AI65" s="85"/>
      <c r="AJ65" s="85"/>
      <c r="AK65" s="85"/>
      <c r="AL65" s="85"/>
      <c r="AM65" s="85"/>
      <c r="AN65" s="85"/>
      <c r="AO65" s="85"/>
      <c r="AP65" s="85"/>
      <c r="AQ65" s="85"/>
      <c r="AR65" s="85"/>
      <c r="AS65" s="85"/>
      <c r="AT65" s="85"/>
      <c r="AU65" s="85"/>
      <c r="AV65" s="85"/>
      <c r="AW65" s="85"/>
      <c r="AX65" s="85"/>
      <c r="AY65" s="85"/>
      <c r="AZ65" s="85"/>
      <c r="BA65" s="85"/>
      <c r="BB65" s="85"/>
      <c r="BC65" s="85"/>
      <c r="BD65" s="85"/>
      <c r="BE65" s="85"/>
      <c r="BF65" s="85"/>
      <c r="BG65" s="85"/>
      <c r="BH65" s="85"/>
      <c r="BI65" s="85"/>
      <c r="BJ65" s="85"/>
      <c r="BK65" s="85"/>
      <c r="BL65" s="85"/>
      <c r="BM65" s="85"/>
      <c r="BN65" s="85"/>
      <c r="BO65" s="86"/>
    </row>
    <row r="66" spans="1:67" ht="14.25" customHeight="1">
      <c r="A66" s="129"/>
      <c r="B66" s="130"/>
      <c r="C66" s="131"/>
      <c r="D66" s="131"/>
      <c r="E66" s="132"/>
      <c r="F66" s="133"/>
      <c r="G66" s="134"/>
      <c r="H66" s="134"/>
      <c r="I66" s="135"/>
      <c r="J66" s="113"/>
      <c r="K66" s="114"/>
      <c r="L66" s="84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  <c r="AG66" s="85"/>
      <c r="AH66" s="85"/>
      <c r="AI66" s="85"/>
      <c r="AJ66" s="85"/>
      <c r="AK66" s="85"/>
      <c r="AL66" s="85"/>
      <c r="AM66" s="85"/>
      <c r="AN66" s="85"/>
      <c r="AO66" s="85"/>
      <c r="AP66" s="85"/>
      <c r="AQ66" s="85"/>
      <c r="AR66" s="85"/>
      <c r="AS66" s="85"/>
      <c r="AT66" s="85"/>
      <c r="AU66" s="85"/>
      <c r="AV66" s="85"/>
      <c r="AW66" s="85"/>
      <c r="AX66" s="85"/>
      <c r="AY66" s="85"/>
      <c r="AZ66" s="85"/>
      <c r="BA66" s="85"/>
      <c r="BB66" s="85"/>
      <c r="BC66" s="85"/>
      <c r="BD66" s="85"/>
      <c r="BE66" s="85"/>
      <c r="BF66" s="85"/>
      <c r="BG66" s="85"/>
      <c r="BH66" s="85"/>
      <c r="BI66" s="85"/>
      <c r="BJ66" s="85"/>
      <c r="BK66" s="85"/>
      <c r="BL66" s="85"/>
      <c r="BM66" s="85"/>
      <c r="BN66" s="85"/>
      <c r="BO66" s="86"/>
    </row>
    <row r="67" spans="1:67" ht="14.25" customHeight="1">
      <c r="A67" s="107"/>
      <c r="B67" s="98"/>
      <c r="C67" s="84"/>
      <c r="D67" s="99"/>
      <c r="E67" s="136"/>
      <c r="F67" s="110"/>
      <c r="G67" s="111"/>
      <c r="H67" s="111"/>
      <c r="I67" s="103"/>
      <c r="J67" s="113"/>
      <c r="K67" s="114"/>
      <c r="L67" s="84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115"/>
      <c r="AD67" s="85"/>
      <c r="AE67" s="85"/>
      <c r="AF67" s="85"/>
      <c r="AG67" s="85"/>
      <c r="AH67" s="85"/>
      <c r="AI67" s="85"/>
      <c r="AJ67" s="85"/>
      <c r="AK67" s="85"/>
      <c r="AL67" s="85"/>
      <c r="AM67" s="85"/>
      <c r="AN67" s="85"/>
      <c r="AO67" s="85"/>
      <c r="AP67" s="85"/>
      <c r="AQ67" s="85"/>
      <c r="AR67" s="85"/>
      <c r="AS67" s="85"/>
      <c r="AT67" s="85"/>
      <c r="AU67" s="85"/>
      <c r="AV67" s="85"/>
      <c r="AW67" s="85"/>
      <c r="AX67" s="85"/>
      <c r="AY67" s="85"/>
      <c r="AZ67" s="85"/>
      <c r="BA67" s="85"/>
      <c r="BB67" s="85"/>
      <c r="BC67" s="85"/>
      <c r="BD67" s="85"/>
      <c r="BE67" s="85"/>
      <c r="BF67" s="85"/>
      <c r="BG67" s="85"/>
      <c r="BH67" s="85"/>
      <c r="BI67" s="85"/>
      <c r="BJ67" s="85"/>
      <c r="BK67" s="85"/>
      <c r="BL67" s="85"/>
      <c r="BM67" s="85"/>
      <c r="BN67" s="85"/>
      <c r="BO67" s="86"/>
    </row>
    <row r="68" spans="1:67" ht="14.25" customHeight="1">
      <c r="A68" s="107"/>
      <c r="B68" s="98"/>
      <c r="C68" s="84"/>
      <c r="D68" s="99"/>
      <c r="E68" s="136"/>
      <c r="F68" s="110"/>
      <c r="G68" s="111"/>
      <c r="H68" s="111"/>
      <c r="I68" s="103"/>
      <c r="J68" s="113"/>
      <c r="K68" s="114"/>
      <c r="L68" s="84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115"/>
      <c r="AD68" s="85"/>
      <c r="AE68" s="85"/>
      <c r="AF68" s="85"/>
      <c r="AG68" s="85"/>
      <c r="AH68" s="85"/>
      <c r="AI68" s="85"/>
      <c r="AJ68" s="85"/>
      <c r="AK68" s="85"/>
      <c r="AL68" s="85"/>
      <c r="AM68" s="85"/>
      <c r="AN68" s="85"/>
      <c r="AO68" s="85"/>
      <c r="AP68" s="85"/>
      <c r="AQ68" s="85"/>
      <c r="AR68" s="85"/>
      <c r="AS68" s="85"/>
      <c r="AT68" s="85"/>
      <c r="AU68" s="85"/>
      <c r="AV68" s="85"/>
      <c r="AW68" s="85"/>
      <c r="AX68" s="85"/>
      <c r="AY68" s="85"/>
      <c r="AZ68" s="85"/>
      <c r="BA68" s="85"/>
      <c r="BB68" s="85"/>
      <c r="BC68" s="85"/>
      <c r="BD68" s="85"/>
      <c r="BE68" s="85"/>
      <c r="BF68" s="85"/>
      <c r="BG68" s="85"/>
      <c r="BH68" s="85"/>
      <c r="BI68" s="85"/>
      <c r="BJ68" s="85"/>
      <c r="BK68" s="85"/>
      <c r="BL68" s="85"/>
      <c r="BM68" s="85"/>
      <c r="BN68" s="85"/>
      <c r="BO68" s="86"/>
    </row>
    <row r="69" spans="1:67" ht="14.25" customHeight="1">
      <c r="A69" s="138"/>
      <c r="B69" s="139"/>
      <c r="C69" s="140"/>
      <c r="D69" s="140"/>
      <c r="E69" s="141"/>
      <c r="F69" s="142"/>
      <c r="G69" s="143"/>
      <c r="H69" s="143"/>
      <c r="I69" s="144"/>
      <c r="J69" s="113"/>
      <c r="K69" s="114"/>
      <c r="L69" s="84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115"/>
      <c r="AD69" s="85"/>
      <c r="AE69" s="85"/>
      <c r="AF69" s="85"/>
      <c r="AG69" s="85"/>
      <c r="AH69" s="85"/>
      <c r="AI69" s="85"/>
      <c r="AJ69" s="85"/>
      <c r="AK69" s="85"/>
      <c r="AL69" s="85"/>
      <c r="AM69" s="85"/>
      <c r="AN69" s="85"/>
      <c r="AO69" s="85"/>
      <c r="AP69" s="85"/>
      <c r="AQ69" s="85"/>
      <c r="AR69" s="85"/>
      <c r="AS69" s="85"/>
      <c r="AT69" s="85"/>
      <c r="AU69" s="85"/>
      <c r="AV69" s="85"/>
      <c r="AW69" s="85"/>
      <c r="AX69" s="85"/>
      <c r="AY69" s="85"/>
      <c r="AZ69" s="85"/>
      <c r="BA69" s="85"/>
      <c r="BB69" s="85"/>
      <c r="BC69" s="85"/>
      <c r="BD69" s="85"/>
      <c r="BE69" s="85"/>
      <c r="BF69" s="85"/>
      <c r="BG69" s="85"/>
      <c r="BH69" s="85"/>
      <c r="BI69" s="85"/>
      <c r="BJ69" s="85"/>
      <c r="BK69" s="85"/>
      <c r="BL69" s="85"/>
      <c r="BM69" s="85"/>
      <c r="BN69" s="85"/>
      <c r="BO69" s="86"/>
    </row>
    <row r="70" spans="1:67" ht="14.25" customHeight="1">
      <c r="A70" s="87"/>
      <c r="B70" s="88"/>
      <c r="C70" s="89"/>
      <c r="D70" s="128"/>
      <c r="E70" s="90"/>
      <c r="F70" s="91"/>
      <c r="G70" s="92"/>
      <c r="H70" s="92"/>
      <c r="I70" s="93"/>
      <c r="J70" s="82"/>
      <c r="K70" s="83"/>
      <c r="L70" s="84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  <c r="AI70" s="85"/>
      <c r="AJ70" s="85"/>
      <c r="AK70" s="85"/>
      <c r="AL70" s="85"/>
      <c r="AM70" s="85"/>
      <c r="AN70" s="85"/>
      <c r="AO70" s="85"/>
      <c r="AP70" s="85"/>
      <c r="AQ70" s="85"/>
      <c r="AR70" s="85"/>
      <c r="AS70" s="85"/>
      <c r="AT70" s="85"/>
      <c r="AU70" s="85"/>
      <c r="AV70" s="85"/>
      <c r="AW70" s="85"/>
      <c r="AX70" s="85"/>
      <c r="AY70" s="85"/>
      <c r="AZ70" s="85"/>
      <c r="BA70" s="85"/>
      <c r="BB70" s="85"/>
      <c r="BC70" s="85"/>
      <c r="BD70" s="85"/>
      <c r="BE70" s="85"/>
      <c r="BF70" s="85"/>
      <c r="BG70" s="85"/>
      <c r="BH70" s="85"/>
      <c r="BI70" s="85"/>
      <c r="BJ70" s="85"/>
      <c r="BK70" s="85"/>
      <c r="BL70" s="85"/>
      <c r="BM70" s="85"/>
      <c r="BN70" s="85"/>
      <c r="BO70" s="86"/>
    </row>
    <row r="71" spans="1:67" ht="14.25" customHeight="1">
      <c r="A71" s="145"/>
      <c r="B71" s="98"/>
      <c r="C71" s="99"/>
      <c r="D71" s="99"/>
      <c r="E71" s="146"/>
      <c r="F71" s="147"/>
      <c r="G71" s="116"/>
      <c r="H71" s="116"/>
      <c r="I71" s="112"/>
      <c r="J71" s="82"/>
      <c r="K71" s="83"/>
      <c r="L71" s="84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  <c r="AG71" s="85"/>
      <c r="AH71" s="85"/>
      <c r="AI71" s="85"/>
      <c r="AJ71" s="85"/>
      <c r="AK71" s="85"/>
      <c r="AL71" s="85"/>
      <c r="AM71" s="85"/>
      <c r="AN71" s="85"/>
      <c r="AO71" s="85"/>
      <c r="AP71" s="85"/>
      <c r="AQ71" s="85"/>
      <c r="AR71" s="85"/>
      <c r="AS71" s="85"/>
      <c r="AT71" s="85"/>
      <c r="AU71" s="85"/>
      <c r="AV71" s="85"/>
      <c r="AW71" s="85"/>
      <c r="AX71" s="85"/>
      <c r="AY71" s="85"/>
      <c r="AZ71" s="85"/>
      <c r="BA71" s="85"/>
      <c r="BB71" s="85"/>
      <c r="BC71" s="85"/>
      <c r="BD71" s="85"/>
      <c r="BE71" s="85"/>
      <c r="BF71" s="85"/>
      <c r="BG71" s="85"/>
      <c r="BH71" s="85"/>
      <c r="BI71" s="85"/>
      <c r="BJ71" s="85"/>
      <c r="BK71" s="85"/>
      <c r="BL71" s="85"/>
      <c r="BM71" s="85"/>
      <c r="BN71" s="85"/>
      <c r="BO71" s="86"/>
    </row>
    <row r="72" spans="1:67" ht="14.25" customHeight="1">
      <c r="A72" s="145"/>
      <c r="B72" s="49"/>
      <c r="C72" s="84"/>
      <c r="D72" s="84"/>
      <c r="E72" s="146"/>
      <c r="F72" s="147"/>
      <c r="G72" s="116"/>
      <c r="H72" s="116"/>
      <c r="I72" s="112"/>
      <c r="J72" s="82"/>
      <c r="K72" s="83"/>
      <c r="L72" s="84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  <c r="AG72" s="85"/>
      <c r="AH72" s="85"/>
      <c r="AI72" s="85"/>
      <c r="AJ72" s="85"/>
      <c r="AK72" s="85"/>
      <c r="AL72" s="85"/>
      <c r="AM72" s="85"/>
      <c r="AN72" s="85"/>
      <c r="AO72" s="85"/>
      <c r="AP72" s="85"/>
      <c r="AQ72" s="85"/>
      <c r="AR72" s="85"/>
      <c r="AS72" s="85"/>
      <c r="AT72" s="85"/>
      <c r="AU72" s="85"/>
      <c r="AV72" s="85"/>
      <c r="AW72" s="85"/>
      <c r="AX72" s="85"/>
      <c r="AY72" s="85"/>
      <c r="AZ72" s="85"/>
      <c r="BA72" s="85"/>
      <c r="BB72" s="85"/>
      <c r="BC72" s="85"/>
      <c r="BD72" s="85"/>
      <c r="BE72" s="85"/>
      <c r="BF72" s="85"/>
      <c r="BG72" s="85"/>
      <c r="BH72" s="85"/>
      <c r="BI72" s="85"/>
      <c r="BJ72" s="85"/>
      <c r="BK72" s="85"/>
      <c r="BL72" s="85"/>
      <c r="BM72" s="85"/>
      <c r="BN72" s="85"/>
      <c r="BO72" s="86"/>
    </row>
    <row r="73" spans="1:67" ht="14.25" customHeight="1">
      <c r="A73" s="145"/>
      <c r="B73" s="49"/>
      <c r="C73" s="84"/>
      <c r="D73" s="84"/>
      <c r="E73" s="146"/>
      <c r="F73" s="147"/>
      <c r="G73" s="116"/>
      <c r="H73" s="116"/>
      <c r="I73" s="112"/>
      <c r="J73" s="82"/>
      <c r="K73" s="83"/>
      <c r="L73" s="84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  <c r="AG73" s="85"/>
      <c r="AH73" s="85"/>
      <c r="AI73" s="85"/>
      <c r="AJ73" s="85"/>
      <c r="AK73" s="85"/>
      <c r="AL73" s="85"/>
      <c r="AM73" s="85"/>
      <c r="AN73" s="85"/>
      <c r="AO73" s="85"/>
      <c r="AP73" s="85"/>
      <c r="AQ73" s="85"/>
      <c r="AR73" s="85"/>
      <c r="AS73" s="85"/>
      <c r="AT73" s="85"/>
      <c r="AU73" s="85"/>
      <c r="AV73" s="85"/>
      <c r="AW73" s="85"/>
      <c r="AX73" s="85"/>
      <c r="AY73" s="85"/>
      <c r="AZ73" s="85"/>
      <c r="BA73" s="85"/>
      <c r="BB73" s="85"/>
      <c r="BC73" s="85"/>
      <c r="BD73" s="85"/>
      <c r="BE73" s="85"/>
      <c r="BF73" s="85"/>
      <c r="BG73" s="85"/>
      <c r="BH73" s="85"/>
      <c r="BI73" s="85"/>
      <c r="BJ73" s="85"/>
      <c r="BK73" s="85"/>
      <c r="BL73" s="85"/>
      <c r="BM73" s="85"/>
      <c r="BN73" s="85"/>
      <c r="BO73" s="86"/>
    </row>
    <row r="74" spans="1:67" ht="14.25" customHeight="1">
      <c r="A74" s="145"/>
      <c r="B74" s="49"/>
      <c r="C74" s="84"/>
      <c r="D74" s="84"/>
      <c r="E74" s="146"/>
      <c r="F74" s="147"/>
      <c r="G74" s="116"/>
      <c r="H74" s="116"/>
      <c r="I74" s="112"/>
      <c r="J74" s="82"/>
      <c r="K74" s="83"/>
      <c r="L74" s="84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  <c r="AG74" s="85"/>
      <c r="AH74" s="85"/>
      <c r="AI74" s="85"/>
      <c r="AJ74" s="85"/>
      <c r="AK74" s="85"/>
      <c r="AL74" s="85"/>
      <c r="AM74" s="85"/>
      <c r="AN74" s="85"/>
      <c r="AO74" s="85"/>
      <c r="AP74" s="85"/>
      <c r="AQ74" s="85"/>
      <c r="AR74" s="85"/>
      <c r="AS74" s="85"/>
      <c r="AT74" s="85"/>
      <c r="AU74" s="85"/>
      <c r="AV74" s="85"/>
      <c r="AW74" s="85"/>
      <c r="AX74" s="85"/>
      <c r="AY74" s="85"/>
      <c r="AZ74" s="85"/>
      <c r="BA74" s="85"/>
      <c r="BB74" s="85"/>
      <c r="BC74" s="85"/>
      <c r="BD74" s="85"/>
      <c r="BE74" s="85"/>
      <c r="BF74" s="85"/>
      <c r="BG74" s="85"/>
      <c r="BH74" s="85"/>
      <c r="BI74" s="85"/>
      <c r="BJ74" s="85"/>
      <c r="BK74" s="85"/>
      <c r="BL74" s="85"/>
      <c r="BM74" s="85"/>
      <c r="BN74" s="85"/>
      <c r="BO74" s="86"/>
    </row>
    <row r="75" spans="1:67" ht="14.25" customHeight="1">
      <c r="A75" s="145"/>
      <c r="B75" s="49"/>
      <c r="C75" s="84"/>
      <c r="D75" s="84"/>
      <c r="E75" s="146"/>
      <c r="F75" s="147"/>
      <c r="G75" s="116"/>
      <c r="H75" s="116"/>
      <c r="I75" s="112"/>
      <c r="J75" s="82"/>
      <c r="K75" s="83"/>
      <c r="L75" s="84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  <c r="AI75" s="85"/>
      <c r="AJ75" s="85"/>
      <c r="AK75" s="85"/>
      <c r="AL75" s="85"/>
      <c r="AM75" s="85"/>
      <c r="AN75" s="85"/>
      <c r="AO75" s="85"/>
      <c r="AP75" s="85"/>
      <c r="AQ75" s="85"/>
      <c r="AR75" s="85"/>
      <c r="AS75" s="85"/>
      <c r="AT75" s="85"/>
      <c r="AU75" s="85"/>
      <c r="AV75" s="85"/>
      <c r="AW75" s="85"/>
      <c r="AX75" s="85"/>
      <c r="AY75" s="85"/>
      <c r="AZ75" s="85"/>
      <c r="BA75" s="85"/>
      <c r="BB75" s="85"/>
      <c r="BC75" s="85"/>
      <c r="BD75" s="85"/>
      <c r="BE75" s="85"/>
      <c r="BF75" s="85"/>
      <c r="BG75" s="85"/>
      <c r="BH75" s="85"/>
      <c r="BI75" s="85"/>
      <c r="BJ75" s="85"/>
      <c r="BK75" s="85"/>
      <c r="BL75" s="85"/>
      <c r="BM75" s="85"/>
      <c r="BN75" s="85"/>
      <c r="BO75" s="86"/>
    </row>
    <row r="76" spans="1:67" ht="14.25" customHeight="1">
      <c r="A76" s="145"/>
      <c r="B76" s="98"/>
      <c r="C76" s="84"/>
      <c r="D76" s="84"/>
      <c r="E76" s="146"/>
      <c r="F76" s="147"/>
      <c r="G76" s="116"/>
      <c r="H76" s="116"/>
      <c r="I76" s="112"/>
      <c r="J76" s="82"/>
      <c r="K76" s="83"/>
      <c r="L76" s="84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  <c r="AG76" s="85"/>
      <c r="AH76" s="85"/>
      <c r="AI76" s="85"/>
      <c r="AJ76" s="85"/>
      <c r="AK76" s="85"/>
      <c r="AL76" s="85"/>
      <c r="AM76" s="85"/>
      <c r="AN76" s="85"/>
      <c r="AO76" s="85"/>
      <c r="AP76" s="85"/>
      <c r="AQ76" s="85"/>
      <c r="AR76" s="85"/>
      <c r="AS76" s="85"/>
      <c r="AT76" s="85"/>
      <c r="AU76" s="85"/>
      <c r="AV76" s="85"/>
      <c r="AW76" s="85"/>
      <c r="AX76" s="85"/>
      <c r="AY76" s="85"/>
      <c r="AZ76" s="85"/>
      <c r="BA76" s="85"/>
      <c r="BB76" s="85"/>
      <c r="BC76" s="85"/>
      <c r="BD76" s="85"/>
      <c r="BE76" s="85"/>
      <c r="BF76" s="85"/>
      <c r="BG76" s="85"/>
      <c r="BH76" s="85"/>
      <c r="BI76" s="85"/>
      <c r="BJ76" s="85"/>
      <c r="BK76" s="85"/>
      <c r="BL76" s="85"/>
      <c r="BM76" s="85"/>
      <c r="BN76" s="85"/>
      <c r="BO76" s="86"/>
    </row>
    <row r="77" spans="1:67" ht="14.25" customHeight="1">
      <c r="A77" s="145"/>
      <c r="B77" s="98"/>
      <c r="C77" s="84"/>
      <c r="D77" s="84"/>
      <c r="E77" s="146"/>
      <c r="F77" s="147"/>
      <c r="G77" s="116"/>
      <c r="H77" s="116"/>
      <c r="I77" s="112"/>
      <c r="J77" s="82"/>
      <c r="K77" s="83"/>
      <c r="L77" s="84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  <c r="AI77" s="85"/>
      <c r="AJ77" s="85"/>
      <c r="AK77" s="85"/>
      <c r="AL77" s="85"/>
      <c r="AM77" s="85"/>
      <c r="AN77" s="85"/>
      <c r="AO77" s="85"/>
      <c r="AP77" s="85"/>
      <c r="AQ77" s="85"/>
      <c r="AR77" s="85"/>
      <c r="AS77" s="85"/>
      <c r="AT77" s="85"/>
      <c r="AU77" s="85"/>
      <c r="AV77" s="85"/>
      <c r="AW77" s="85"/>
      <c r="AX77" s="85"/>
      <c r="AY77" s="85"/>
      <c r="AZ77" s="85"/>
      <c r="BA77" s="85"/>
      <c r="BB77" s="85"/>
      <c r="BC77" s="85"/>
      <c r="BD77" s="85"/>
      <c r="BE77" s="85"/>
      <c r="BF77" s="85"/>
      <c r="BG77" s="85"/>
      <c r="BH77" s="85"/>
      <c r="BI77" s="85"/>
      <c r="BJ77" s="85"/>
      <c r="BK77" s="85"/>
      <c r="BL77" s="85"/>
      <c r="BM77" s="85"/>
      <c r="BN77" s="85"/>
      <c r="BO77" s="86"/>
    </row>
    <row r="78" spans="1:67" ht="14.25" customHeight="1">
      <c r="A78" s="145"/>
      <c r="B78" s="98"/>
      <c r="C78" s="84"/>
      <c r="D78" s="84"/>
      <c r="E78" s="146"/>
      <c r="F78" s="147"/>
      <c r="G78" s="116"/>
      <c r="H78" s="116"/>
      <c r="I78" s="112"/>
      <c r="J78" s="82"/>
      <c r="K78" s="83"/>
      <c r="L78" s="84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85"/>
      <c r="AI78" s="85"/>
      <c r="AJ78" s="85"/>
      <c r="AK78" s="85"/>
      <c r="AL78" s="85"/>
      <c r="AM78" s="85"/>
      <c r="AN78" s="85"/>
      <c r="AO78" s="85"/>
      <c r="AP78" s="85"/>
      <c r="AQ78" s="85"/>
      <c r="AR78" s="85"/>
      <c r="AS78" s="85"/>
      <c r="AT78" s="85"/>
      <c r="AU78" s="85"/>
      <c r="AV78" s="85"/>
      <c r="AW78" s="85"/>
      <c r="AX78" s="85"/>
      <c r="AY78" s="85"/>
      <c r="AZ78" s="85"/>
      <c r="BA78" s="85"/>
      <c r="BB78" s="85"/>
      <c r="BC78" s="85"/>
      <c r="BD78" s="85"/>
      <c r="BE78" s="85"/>
      <c r="BF78" s="85"/>
      <c r="BG78" s="85"/>
      <c r="BH78" s="85"/>
      <c r="BI78" s="85"/>
      <c r="BJ78" s="85"/>
      <c r="BK78" s="85"/>
      <c r="BL78" s="85"/>
      <c r="BM78" s="85"/>
      <c r="BN78" s="85"/>
      <c r="BO78" s="86"/>
    </row>
    <row r="79" spans="1:67" ht="14.25" customHeight="1">
      <c r="A79" s="145"/>
      <c r="B79" s="98"/>
      <c r="C79" s="84"/>
      <c r="D79" s="84"/>
      <c r="E79" s="146"/>
      <c r="F79" s="147"/>
      <c r="G79" s="116"/>
      <c r="H79" s="116"/>
      <c r="I79" s="112"/>
      <c r="J79" s="82"/>
      <c r="K79" s="83"/>
      <c r="L79" s="84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85"/>
      <c r="AI79" s="85"/>
      <c r="AJ79" s="85"/>
      <c r="AK79" s="85"/>
      <c r="AL79" s="85"/>
      <c r="AM79" s="85"/>
      <c r="AN79" s="85"/>
      <c r="AO79" s="85"/>
      <c r="AP79" s="85"/>
      <c r="AQ79" s="85"/>
      <c r="AR79" s="85"/>
      <c r="AS79" s="85"/>
      <c r="AT79" s="85"/>
      <c r="AU79" s="85"/>
      <c r="AV79" s="85"/>
      <c r="AW79" s="85"/>
      <c r="AX79" s="85"/>
      <c r="AY79" s="85"/>
      <c r="AZ79" s="85"/>
      <c r="BA79" s="85"/>
      <c r="BB79" s="85"/>
      <c r="BC79" s="85"/>
      <c r="BD79" s="85"/>
      <c r="BE79" s="85"/>
      <c r="BF79" s="85"/>
      <c r="BG79" s="85"/>
      <c r="BH79" s="85"/>
      <c r="BI79" s="85"/>
      <c r="BJ79" s="85"/>
      <c r="BK79" s="85"/>
      <c r="BL79" s="85"/>
      <c r="BM79" s="85"/>
      <c r="BN79" s="85"/>
      <c r="BO79" s="86"/>
    </row>
    <row r="80" spans="1:67" ht="14.25" customHeight="1">
      <c r="A80" s="145"/>
      <c r="B80" s="98"/>
      <c r="C80" s="84"/>
      <c r="D80" s="84"/>
      <c r="E80" s="146"/>
      <c r="F80" s="147"/>
      <c r="G80" s="116"/>
      <c r="H80" s="116"/>
      <c r="I80" s="112"/>
      <c r="J80" s="82"/>
      <c r="K80" s="83"/>
      <c r="L80" s="84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85"/>
      <c r="AM80" s="85"/>
      <c r="AN80" s="85"/>
      <c r="AO80" s="85"/>
      <c r="AP80" s="85"/>
      <c r="AQ80" s="85"/>
      <c r="AR80" s="85"/>
      <c r="AS80" s="85"/>
      <c r="AT80" s="85"/>
      <c r="AU80" s="85"/>
      <c r="AV80" s="85"/>
      <c r="AW80" s="85"/>
      <c r="AX80" s="85"/>
      <c r="AY80" s="85"/>
      <c r="AZ80" s="85"/>
      <c r="BA80" s="85"/>
      <c r="BB80" s="85"/>
      <c r="BC80" s="85"/>
      <c r="BD80" s="85"/>
      <c r="BE80" s="85"/>
      <c r="BF80" s="85"/>
      <c r="BG80" s="85"/>
      <c r="BH80" s="85"/>
      <c r="BI80" s="85"/>
      <c r="BJ80" s="85"/>
      <c r="BK80" s="85"/>
      <c r="BL80" s="85"/>
      <c r="BM80" s="85"/>
      <c r="BN80" s="85"/>
      <c r="BO80" s="86"/>
    </row>
    <row r="81" spans="1:67" ht="14.25" customHeight="1">
      <c r="A81" s="87"/>
      <c r="B81" s="88"/>
      <c r="C81" s="89"/>
      <c r="D81" s="128"/>
      <c r="E81" s="90"/>
      <c r="F81" s="91"/>
      <c r="G81" s="92"/>
      <c r="H81" s="92"/>
      <c r="I81" s="93"/>
      <c r="J81" s="82"/>
      <c r="K81" s="83"/>
      <c r="L81" s="84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  <c r="AT81" s="85"/>
      <c r="AU81" s="85"/>
      <c r="AV81" s="85"/>
      <c r="AW81" s="85"/>
      <c r="AX81" s="85"/>
      <c r="AY81" s="85"/>
      <c r="AZ81" s="85"/>
      <c r="BA81" s="85"/>
      <c r="BB81" s="85"/>
      <c r="BC81" s="85"/>
      <c r="BD81" s="85"/>
      <c r="BE81" s="85"/>
      <c r="BF81" s="85"/>
      <c r="BG81" s="85"/>
      <c r="BH81" s="85"/>
      <c r="BI81" s="85"/>
      <c r="BJ81" s="85"/>
      <c r="BK81" s="85"/>
      <c r="BL81" s="85"/>
      <c r="BM81" s="85"/>
      <c r="BN81" s="85"/>
      <c r="BO81" s="86"/>
    </row>
    <row r="82" spans="1:67" ht="14.25" customHeight="1">
      <c r="A82" s="145"/>
      <c r="B82" s="98"/>
      <c r="C82" s="99"/>
      <c r="D82" s="99"/>
      <c r="E82" s="146"/>
      <c r="F82" s="147"/>
      <c r="G82" s="116"/>
      <c r="H82" s="116"/>
      <c r="I82" s="148"/>
      <c r="J82" s="82"/>
      <c r="K82" s="83"/>
      <c r="L82" s="84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  <c r="AT82" s="85"/>
      <c r="AU82" s="85"/>
      <c r="AV82" s="85"/>
      <c r="AW82" s="85"/>
      <c r="AX82" s="85"/>
      <c r="AY82" s="85"/>
      <c r="AZ82" s="85"/>
      <c r="BA82" s="85"/>
      <c r="BB82" s="85"/>
      <c r="BC82" s="85"/>
      <c r="BD82" s="85"/>
      <c r="BE82" s="85"/>
      <c r="BF82" s="85"/>
      <c r="BG82" s="85"/>
      <c r="BH82" s="85"/>
      <c r="BI82" s="85"/>
      <c r="BJ82" s="85"/>
      <c r="BK82" s="85"/>
      <c r="BL82" s="85"/>
      <c r="BM82" s="85"/>
      <c r="BN82" s="85"/>
      <c r="BO82" s="86"/>
    </row>
    <row r="83" spans="1:67" ht="14.25" customHeight="1">
      <c r="A83" s="145"/>
      <c r="B83" s="98"/>
      <c r="C83" s="99"/>
      <c r="D83" s="99"/>
      <c r="E83" s="146"/>
      <c r="F83" s="147"/>
      <c r="G83" s="116"/>
      <c r="H83" s="116"/>
      <c r="I83" s="148"/>
      <c r="J83" s="82"/>
      <c r="K83" s="83"/>
      <c r="L83" s="84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  <c r="AT83" s="85"/>
      <c r="AU83" s="85"/>
      <c r="AV83" s="85"/>
      <c r="AW83" s="85"/>
      <c r="AX83" s="85"/>
      <c r="AY83" s="85"/>
      <c r="AZ83" s="85"/>
      <c r="BA83" s="85"/>
      <c r="BB83" s="85"/>
      <c r="BC83" s="85"/>
      <c r="BD83" s="85"/>
      <c r="BE83" s="85"/>
      <c r="BF83" s="85"/>
      <c r="BG83" s="85"/>
      <c r="BH83" s="85"/>
      <c r="BI83" s="85"/>
      <c r="BJ83" s="85"/>
      <c r="BK83" s="85"/>
      <c r="BL83" s="85"/>
      <c r="BM83" s="85"/>
      <c r="BN83" s="85"/>
      <c r="BO83" s="86"/>
    </row>
    <row r="84" spans="1:67" ht="18.75" customHeight="1">
      <c r="A84" s="149"/>
      <c r="B84" s="150"/>
      <c r="C84" s="151"/>
      <c r="D84" s="152"/>
      <c r="E84" s="153"/>
      <c r="F84" s="154"/>
      <c r="G84" s="143"/>
      <c r="H84" s="155"/>
      <c r="I84" s="156"/>
      <c r="J84" s="157"/>
      <c r="K84" s="158"/>
      <c r="L84" s="159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  <c r="AD84" s="160"/>
      <c r="AE84" s="160"/>
      <c r="AF84" s="160"/>
      <c r="AG84" s="160"/>
      <c r="AH84" s="160"/>
      <c r="AI84" s="160"/>
      <c r="AJ84" s="160"/>
      <c r="AK84" s="160"/>
      <c r="AL84" s="160"/>
      <c r="AM84" s="160"/>
      <c r="AN84" s="160"/>
      <c r="AO84" s="160"/>
      <c r="AP84" s="160"/>
      <c r="AQ84" s="160"/>
      <c r="AR84" s="160"/>
      <c r="AS84" s="160"/>
      <c r="AT84" s="160"/>
      <c r="AU84" s="160"/>
      <c r="AV84" s="160"/>
      <c r="AW84" s="160"/>
      <c r="AX84" s="160"/>
      <c r="AY84" s="160"/>
      <c r="AZ84" s="160"/>
      <c r="BA84" s="160"/>
      <c r="BB84" s="160"/>
      <c r="BC84" s="160"/>
      <c r="BD84" s="160"/>
      <c r="BE84" s="160"/>
      <c r="BF84" s="160"/>
      <c r="BG84" s="160"/>
      <c r="BH84" s="160"/>
      <c r="BI84" s="160"/>
      <c r="BJ84" s="160"/>
      <c r="BK84" s="160"/>
      <c r="BL84" s="160"/>
      <c r="BM84" s="160"/>
      <c r="BN84" s="160"/>
      <c r="BO84" s="102"/>
    </row>
    <row r="85" spans="1:67" ht="14.25" customHeight="1">
      <c r="A85" s="38"/>
      <c r="B85" s="38"/>
      <c r="C85" s="37"/>
      <c r="D85" s="37"/>
      <c r="E85" s="55"/>
      <c r="F85" s="38"/>
      <c r="G85" s="37"/>
      <c r="H85" s="38"/>
      <c r="I85" s="38"/>
      <c r="J85" s="52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/>
      <c r="BL85" s="40"/>
      <c r="BM85" s="40"/>
      <c r="BN85" s="40"/>
      <c r="BO85" s="40"/>
    </row>
    <row r="86" spans="1:67" ht="14.25" customHeight="1">
      <c r="A86" s="161"/>
      <c r="B86" s="38"/>
      <c r="C86" s="37"/>
      <c r="D86" s="37"/>
      <c r="E86" s="55"/>
      <c r="F86" s="38"/>
      <c r="G86" s="37"/>
      <c r="H86" s="38"/>
      <c r="I86" s="38"/>
      <c r="J86" s="52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/>
      <c r="BL86" s="40"/>
      <c r="BM86" s="40"/>
      <c r="BN86" s="40"/>
      <c r="BO86" s="40"/>
    </row>
    <row r="87" spans="1:67" ht="14.25" customHeight="1">
      <c r="A87" s="162"/>
      <c r="B87" s="38"/>
      <c r="C87" s="37"/>
      <c r="D87" s="37"/>
      <c r="E87" s="55"/>
      <c r="F87" s="38"/>
      <c r="G87" s="37"/>
      <c r="H87" s="38"/>
      <c r="I87" s="38"/>
      <c r="J87" s="52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/>
      <c r="BL87" s="40"/>
      <c r="BM87" s="40"/>
      <c r="BN87" s="40"/>
      <c r="BO87" s="40"/>
    </row>
    <row r="88" spans="1:67" ht="14.25" customHeight="1">
      <c r="A88" s="38"/>
      <c r="B88" s="38"/>
      <c r="C88" s="37"/>
      <c r="D88" s="37"/>
      <c r="E88" s="55"/>
      <c r="F88" s="38"/>
      <c r="G88" s="37"/>
      <c r="H88" s="38"/>
      <c r="I88" s="38"/>
      <c r="J88" s="52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/>
      <c r="BL88" s="40"/>
      <c r="BM88" s="40"/>
      <c r="BN88" s="40"/>
      <c r="BO88" s="40"/>
    </row>
    <row r="89" spans="1:67" ht="14.25" customHeight="1">
      <c r="A89" s="38"/>
      <c r="B89" s="38"/>
      <c r="C89" s="37"/>
      <c r="D89" s="37"/>
      <c r="E89" s="55"/>
      <c r="F89" s="38"/>
      <c r="G89" s="37"/>
      <c r="H89" s="38"/>
      <c r="I89" s="38"/>
      <c r="J89" s="52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/>
      <c r="BL89" s="40"/>
      <c r="BM89" s="40"/>
      <c r="BN89" s="40"/>
      <c r="BO89" s="40"/>
    </row>
    <row r="90" spans="1:67" ht="14.25" customHeight="1">
      <c r="A90" s="38"/>
      <c r="B90" s="38"/>
      <c r="C90" s="37"/>
      <c r="D90" s="37"/>
      <c r="E90" s="55"/>
      <c r="F90" s="38"/>
      <c r="G90" s="37"/>
      <c r="H90" s="38"/>
      <c r="I90" s="38"/>
      <c r="J90" s="52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/>
      <c r="BL90" s="40"/>
      <c r="BM90" s="40"/>
      <c r="BN90" s="40"/>
      <c r="BO90" s="40"/>
    </row>
    <row r="91" spans="1:67" ht="14.25" customHeight="1">
      <c r="A91" s="38"/>
      <c r="B91" s="38"/>
      <c r="C91" s="37"/>
      <c r="D91" s="37"/>
      <c r="E91" s="55"/>
      <c r="F91" s="38"/>
      <c r="G91" s="37"/>
      <c r="H91" s="38"/>
      <c r="I91" s="38"/>
      <c r="J91" s="52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</row>
    <row r="92" spans="1:67" ht="14.25" customHeight="1">
      <c r="A92" s="38"/>
      <c r="B92" s="38"/>
      <c r="C92" s="37"/>
      <c r="D92" s="37"/>
      <c r="E92" s="55"/>
      <c r="F92" s="38"/>
      <c r="G92" s="37"/>
      <c r="H92" s="38"/>
      <c r="I92" s="38"/>
      <c r="J92" s="52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/>
      <c r="BL92" s="40"/>
      <c r="BM92" s="40"/>
      <c r="BN92" s="40"/>
      <c r="BO92" s="40"/>
    </row>
    <row r="93" spans="1:67" ht="14.25" customHeight="1">
      <c r="A93" s="38"/>
      <c r="B93" s="38"/>
      <c r="C93" s="37"/>
      <c r="D93" s="37"/>
      <c r="E93" s="55"/>
      <c r="F93" s="38"/>
      <c r="G93" s="37"/>
      <c r="H93" s="38"/>
      <c r="I93" s="38"/>
      <c r="J93" s="52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/>
      <c r="BL93" s="40"/>
      <c r="BM93" s="40"/>
      <c r="BN93" s="40"/>
      <c r="BO93" s="40"/>
    </row>
    <row r="94" spans="1:67" ht="14.25" customHeight="1">
      <c r="A94" s="38"/>
      <c r="B94" s="38"/>
      <c r="C94" s="37"/>
      <c r="D94" s="37"/>
      <c r="E94" s="55"/>
      <c r="F94" s="38"/>
      <c r="G94" s="37"/>
      <c r="H94" s="38"/>
      <c r="I94" s="38"/>
      <c r="J94" s="52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/>
      <c r="BL94" s="40"/>
      <c r="BM94" s="40"/>
      <c r="BN94" s="40"/>
      <c r="BO94" s="40"/>
    </row>
    <row r="95" spans="1:67" ht="14.25" customHeight="1">
      <c r="A95" s="38"/>
      <c r="B95" s="38"/>
      <c r="C95" s="37"/>
      <c r="D95" s="37"/>
      <c r="E95" s="55"/>
      <c r="F95" s="38"/>
      <c r="G95" s="37"/>
      <c r="H95" s="38"/>
      <c r="I95" s="38"/>
      <c r="J95" s="52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/>
      <c r="BL95" s="40"/>
      <c r="BM95" s="40"/>
      <c r="BN95" s="40"/>
      <c r="BO95" s="40"/>
    </row>
    <row r="96" spans="1:67" ht="14.25" customHeight="1">
      <c r="A96" s="38"/>
      <c r="B96" s="38"/>
      <c r="C96" s="37"/>
      <c r="D96" s="37"/>
      <c r="E96" s="55"/>
      <c r="F96" s="38"/>
      <c r="G96" s="37"/>
      <c r="H96" s="38"/>
      <c r="I96" s="38"/>
      <c r="J96" s="52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/>
      <c r="BL96" s="40"/>
      <c r="BM96" s="40"/>
      <c r="BN96" s="40"/>
      <c r="BO96" s="40"/>
    </row>
    <row r="97" spans="1:67" ht="14.25" customHeight="1">
      <c r="A97" s="38"/>
      <c r="B97" s="38"/>
      <c r="C97" s="37"/>
      <c r="D97" s="37"/>
      <c r="E97" s="55"/>
      <c r="F97" s="38"/>
      <c r="G97" s="37"/>
      <c r="H97" s="38"/>
      <c r="I97" s="38"/>
      <c r="J97" s="52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/>
      <c r="BL97" s="40"/>
      <c r="BM97" s="40"/>
      <c r="BN97" s="40"/>
      <c r="BO97" s="40"/>
    </row>
    <row r="98" spans="1:67" ht="14.25" customHeight="1">
      <c r="A98" s="38"/>
      <c r="B98" s="38"/>
      <c r="C98" s="37"/>
      <c r="D98" s="37"/>
      <c r="E98" s="55"/>
      <c r="F98" s="38"/>
      <c r="G98" s="37"/>
      <c r="H98" s="38"/>
      <c r="I98" s="38"/>
      <c r="J98" s="52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/>
      <c r="BL98" s="40"/>
      <c r="BM98" s="40"/>
      <c r="BN98" s="40"/>
      <c r="BO98" s="40"/>
    </row>
    <row r="99" spans="1:67" ht="14.25" customHeight="1">
      <c r="A99" s="38"/>
      <c r="B99" s="38"/>
      <c r="C99" s="37"/>
      <c r="D99" s="37"/>
      <c r="E99" s="55"/>
      <c r="F99" s="38"/>
      <c r="G99" s="37"/>
      <c r="H99" s="38"/>
      <c r="I99" s="38"/>
      <c r="J99" s="52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/>
      <c r="BL99" s="40"/>
      <c r="BM99" s="40"/>
      <c r="BN99" s="40"/>
      <c r="BO99" s="40"/>
    </row>
    <row r="100" spans="1:67" ht="14.25" customHeight="1">
      <c r="A100" s="38"/>
      <c r="B100" s="38"/>
      <c r="C100" s="37"/>
      <c r="D100" s="37"/>
      <c r="E100" s="55"/>
      <c r="F100" s="38"/>
      <c r="G100" s="37"/>
      <c r="H100" s="38"/>
      <c r="I100" s="38"/>
      <c r="J100" s="52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  <c r="BN100" s="40"/>
      <c r="BO100" s="40"/>
    </row>
    <row r="101" spans="1:67" ht="14.25" customHeight="1">
      <c r="A101" s="38"/>
      <c r="B101" s="38"/>
      <c r="C101" s="37"/>
      <c r="D101" s="37"/>
      <c r="E101" s="55"/>
      <c r="F101" s="38"/>
      <c r="G101" s="37"/>
      <c r="H101" s="38"/>
      <c r="I101" s="38"/>
      <c r="J101" s="52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/>
      <c r="BL101" s="40"/>
      <c r="BM101" s="40"/>
      <c r="BN101" s="40"/>
      <c r="BO101" s="40"/>
    </row>
    <row r="102" spans="1:67" ht="14.25" customHeight="1">
      <c r="A102" s="38"/>
      <c r="B102" s="38"/>
      <c r="C102" s="37"/>
      <c r="D102" s="37"/>
      <c r="E102" s="55"/>
      <c r="F102" s="38"/>
      <c r="G102" s="37"/>
      <c r="H102" s="38"/>
      <c r="I102" s="38"/>
      <c r="J102" s="52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/>
      <c r="BL102" s="40"/>
      <c r="BM102" s="40"/>
      <c r="BN102" s="40"/>
      <c r="BO102" s="40"/>
    </row>
    <row r="103" spans="1:67" ht="14.25" customHeight="1">
      <c r="A103" s="38"/>
      <c r="B103" s="38"/>
      <c r="C103" s="37"/>
      <c r="D103" s="37"/>
      <c r="E103" s="55"/>
      <c r="F103" s="38"/>
      <c r="G103" s="37"/>
      <c r="H103" s="38"/>
      <c r="I103" s="38"/>
      <c r="J103" s="52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/>
      <c r="BL103" s="40"/>
      <c r="BM103" s="40"/>
      <c r="BN103" s="40"/>
      <c r="BO103" s="40"/>
    </row>
    <row r="104" spans="1:67" ht="14.25" customHeight="1">
      <c r="A104" s="38"/>
      <c r="B104" s="38"/>
      <c r="C104" s="37"/>
      <c r="D104" s="37"/>
      <c r="E104" s="55"/>
      <c r="F104" s="38"/>
      <c r="G104" s="37"/>
      <c r="H104" s="38"/>
      <c r="I104" s="38"/>
      <c r="J104" s="52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/>
      <c r="BL104" s="40"/>
      <c r="BM104" s="40"/>
      <c r="BN104" s="40"/>
      <c r="BO104" s="40"/>
    </row>
    <row r="105" spans="1:67" ht="14.25" customHeight="1">
      <c r="A105" s="38"/>
      <c r="B105" s="38"/>
      <c r="C105" s="37"/>
      <c r="D105" s="37"/>
      <c r="E105" s="55"/>
      <c r="F105" s="38"/>
      <c r="G105" s="37"/>
      <c r="H105" s="38"/>
      <c r="I105" s="38"/>
      <c r="J105" s="52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/>
      <c r="BL105" s="40"/>
      <c r="BM105" s="40"/>
      <c r="BN105" s="40"/>
      <c r="BO105" s="40"/>
    </row>
    <row r="106" spans="1:67" ht="14.25" customHeight="1">
      <c r="A106" s="38"/>
      <c r="B106" s="38"/>
      <c r="C106" s="37"/>
      <c r="D106" s="37"/>
      <c r="E106" s="55"/>
      <c r="F106" s="38"/>
      <c r="G106" s="37"/>
      <c r="H106" s="38"/>
      <c r="I106" s="38"/>
      <c r="J106" s="52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/>
      <c r="BL106" s="40"/>
      <c r="BM106" s="40"/>
      <c r="BN106" s="40"/>
      <c r="BO106" s="40"/>
    </row>
    <row r="107" spans="1:67" ht="14.25" customHeight="1">
      <c r="A107" s="38"/>
      <c r="B107" s="38"/>
      <c r="C107" s="37"/>
      <c r="D107" s="37"/>
      <c r="E107" s="55"/>
      <c r="F107" s="38"/>
      <c r="G107" s="37"/>
      <c r="H107" s="38"/>
      <c r="I107" s="38"/>
      <c r="J107" s="52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/>
      <c r="BL107" s="40"/>
      <c r="BM107" s="40"/>
      <c r="BN107" s="40"/>
      <c r="BO107" s="40"/>
    </row>
    <row r="108" spans="1:67" ht="14.25" customHeight="1">
      <c r="A108" s="38"/>
      <c r="B108" s="38"/>
      <c r="C108" s="37"/>
      <c r="D108" s="37"/>
      <c r="E108" s="55"/>
      <c r="F108" s="38"/>
      <c r="G108" s="37"/>
      <c r="H108" s="38"/>
      <c r="I108" s="38"/>
      <c r="J108" s="52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/>
      <c r="BL108" s="40"/>
      <c r="BM108" s="40"/>
      <c r="BN108" s="40"/>
      <c r="BO108" s="40"/>
    </row>
    <row r="109" spans="1:67" ht="14.25" customHeight="1">
      <c r="A109" s="38"/>
      <c r="B109" s="38"/>
      <c r="C109" s="37"/>
      <c r="D109" s="37"/>
      <c r="E109" s="55"/>
      <c r="F109" s="38"/>
      <c r="G109" s="37"/>
      <c r="H109" s="38"/>
      <c r="I109" s="38"/>
      <c r="J109" s="52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/>
      <c r="BL109" s="40"/>
      <c r="BM109" s="40"/>
      <c r="BN109" s="40"/>
      <c r="BO109" s="40"/>
    </row>
    <row r="110" spans="1:67" ht="14.25" customHeight="1">
      <c r="A110" s="38"/>
      <c r="B110" s="38"/>
      <c r="C110" s="37"/>
      <c r="D110" s="37"/>
      <c r="E110" s="55"/>
      <c r="F110" s="38"/>
      <c r="G110" s="37"/>
      <c r="H110" s="38"/>
      <c r="I110" s="38"/>
      <c r="J110" s="52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/>
      <c r="BL110" s="40"/>
      <c r="BM110" s="40"/>
      <c r="BN110" s="40"/>
      <c r="BO110" s="40"/>
    </row>
    <row r="111" spans="1:67" ht="14.25" customHeight="1">
      <c r="A111" s="38"/>
      <c r="B111" s="38"/>
      <c r="C111" s="37"/>
      <c r="D111" s="37"/>
      <c r="E111" s="55"/>
      <c r="F111" s="38"/>
      <c r="G111" s="37"/>
      <c r="H111" s="38"/>
      <c r="I111" s="38"/>
      <c r="J111" s="52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/>
      <c r="BL111" s="40"/>
      <c r="BM111" s="40"/>
      <c r="BN111" s="40"/>
      <c r="BO111" s="40"/>
    </row>
    <row r="112" spans="1:67" ht="14.25" customHeight="1">
      <c r="A112" s="38"/>
      <c r="B112" s="38"/>
      <c r="C112" s="37"/>
      <c r="D112" s="37"/>
      <c r="E112" s="55"/>
      <c r="F112" s="38"/>
      <c r="G112" s="37"/>
      <c r="H112" s="38"/>
      <c r="I112" s="38"/>
      <c r="J112" s="52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O112" s="40"/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/>
      <c r="BL112" s="40"/>
      <c r="BM112" s="40"/>
      <c r="BN112" s="40"/>
      <c r="BO112" s="40"/>
    </row>
    <row r="113" spans="1:67" ht="14.25" customHeight="1">
      <c r="A113" s="38"/>
      <c r="B113" s="38"/>
      <c r="C113" s="37"/>
      <c r="D113" s="37"/>
      <c r="E113" s="55"/>
      <c r="F113" s="38"/>
      <c r="G113" s="37"/>
      <c r="H113" s="38"/>
      <c r="I113" s="38"/>
      <c r="J113" s="52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/>
      <c r="BL113" s="40"/>
      <c r="BM113" s="40"/>
      <c r="BN113" s="40"/>
      <c r="BO113" s="40"/>
    </row>
    <row r="114" spans="1:67" ht="14.25" customHeight="1">
      <c r="A114" s="38"/>
      <c r="B114" s="38"/>
      <c r="C114" s="37"/>
      <c r="D114" s="37"/>
      <c r="E114" s="55"/>
      <c r="F114" s="38"/>
      <c r="G114" s="37"/>
      <c r="H114" s="38"/>
      <c r="I114" s="38"/>
      <c r="J114" s="52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/>
      <c r="BL114" s="40"/>
      <c r="BM114" s="40"/>
      <c r="BN114" s="40"/>
      <c r="BO114" s="40"/>
    </row>
    <row r="115" spans="1:67" ht="14.25" customHeight="1">
      <c r="A115" s="38"/>
      <c r="B115" s="38"/>
      <c r="C115" s="37"/>
      <c r="D115" s="37"/>
      <c r="E115" s="55"/>
      <c r="F115" s="38"/>
      <c r="G115" s="37"/>
      <c r="H115" s="38"/>
      <c r="I115" s="38"/>
      <c r="J115" s="52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/>
      <c r="BL115" s="40"/>
      <c r="BM115" s="40"/>
      <c r="BN115" s="40"/>
      <c r="BO115" s="40"/>
    </row>
    <row r="116" spans="1:67" ht="14.25" customHeight="1">
      <c r="A116" s="38"/>
      <c r="B116" s="38"/>
      <c r="C116" s="37"/>
      <c r="D116" s="37"/>
      <c r="E116" s="55"/>
      <c r="F116" s="38"/>
      <c r="G116" s="37"/>
      <c r="H116" s="38"/>
      <c r="I116" s="38"/>
      <c r="J116" s="52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/>
      <c r="BL116" s="40"/>
      <c r="BM116" s="40"/>
      <c r="BN116" s="40"/>
      <c r="BO116" s="40"/>
    </row>
    <row r="117" spans="1:67" ht="14.25" customHeight="1">
      <c r="A117" s="38"/>
      <c r="B117" s="38"/>
      <c r="C117" s="37"/>
      <c r="D117" s="37"/>
      <c r="E117" s="55"/>
      <c r="F117" s="38"/>
      <c r="G117" s="37"/>
      <c r="H117" s="38"/>
      <c r="I117" s="38"/>
      <c r="J117" s="52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/>
      <c r="BL117" s="40"/>
      <c r="BM117" s="40"/>
      <c r="BN117" s="40"/>
      <c r="BO117" s="40"/>
    </row>
    <row r="118" spans="1:67" ht="14.25" customHeight="1">
      <c r="A118" s="38"/>
      <c r="B118" s="38"/>
      <c r="C118" s="37"/>
      <c r="D118" s="37"/>
      <c r="E118" s="55"/>
      <c r="F118" s="38"/>
      <c r="G118" s="37"/>
      <c r="H118" s="38"/>
      <c r="I118" s="38"/>
      <c r="J118" s="52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/>
      <c r="BL118" s="40"/>
      <c r="BM118" s="40"/>
      <c r="BN118" s="40"/>
      <c r="BO118" s="40"/>
    </row>
    <row r="119" spans="1:67" ht="14.25" customHeight="1">
      <c r="A119" s="38"/>
      <c r="B119" s="38"/>
      <c r="C119" s="37"/>
      <c r="D119" s="37"/>
      <c r="E119" s="55"/>
      <c r="F119" s="38"/>
      <c r="G119" s="37"/>
      <c r="H119" s="38"/>
      <c r="I119" s="38"/>
      <c r="J119" s="52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/>
      <c r="BL119" s="40"/>
      <c r="BM119" s="40"/>
      <c r="BN119" s="40"/>
      <c r="BO119" s="40"/>
    </row>
    <row r="120" spans="1:67" ht="14.25" customHeight="1">
      <c r="A120" s="38"/>
      <c r="B120" s="38"/>
      <c r="C120" s="37"/>
      <c r="D120" s="37"/>
      <c r="E120" s="55"/>
      <c r="F120" s="38"/>
      <c r="G120" s="37"/>
      <c r="H120" s="38"/>
      <c r="I120" s="38"/>
      <c r="J120" s="52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/>
      <c r="BL120" s="40"/>
      <c r="BM120" s="40"/>
      <c r="BN120" s="40"/>
      <c r="BO120" s="40"/>
    </row>
    <row r="121" spans="1:67" ht="14.25" customHeight="1">
      <c r="A121" s="38"/>
      <c r="B121" s="38"/>
      <c r="C121" s="37"/>
      <c r="D121" s="37"/>
      <c r="E121" s="55"/>
      <c r="F121" s="38"/>
      <c r="G121" s="37"/>
      <c r="H121" s="38"/>
      <c r="I121" s="38"/>
      <c r="J121" s="52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/>
      <c r="BL121" s="40"/>
      <c r="BM121" s="40"/>
      <c r="BN121" s="40"/>
      <c r="BO121" s="40"/>
    </row>
    <row r="122" spans="1:67" ht="14.25" customHeight="1">
      <c r="A122" s="38"/>
      <c r="B122" s="38"/>
      <c r="C122" s="37"/>
      <c r="D122" s="37"/>
      <c r="E122" s="55"/>
      <c r="F122" s="38"/>
      <c r="G122" s="37"/>
      <c r="H122" s="38"/>
      <c r="I122" s="38"/>
      <c r="J122" s="52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/>
      <c r="BL122" s="40"/>
      <c r="BM122" s="40"/>
      <c r="BN122" s="40"/>
      <c r="BO122" s="40"/>
    </row>
    <row r="123" spans="1:67" ht="14.25" customHeight="1">
      <c r="A123" s="38"/>
      <c r="B123" s="38"/>
      <c r="C123" s="37"/>
      <c r="D123" s="37"/>
      <c r="E123" s="55"/>
      <c r="F123" s="38"/>
      <c r="G123" s="37"/>
      <c r="H123" s="38"/>
      <c r="I123" s="38"/>
      <c r="J123" s="52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/>
      <c r="BL123" s="40"/>
      <c r="BM123" s="40"/>
      <c r="BN123" s="40"/>
      <c r="BO123" s="40"/>
    </row>
    <row r="124" spans="1:67" ht="14.25" customHeight="1">
      <c r="A124" s="38"/>
      <c r="B124" s="38"/>
      <c r="C124" s="37"/>
      <c r="D124" s="37"/>
      <c r="E124" s="55"/>
      <c r="F124" s="38"/>
      <c r="G124" s="37"/>
      <c r="H124" s="38"/>
      <c r="I124" s="38"/>
      <c r="J124" s="52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I124" s="40"/>
      <c r="BJ124" s="40"/>
      <c r="BK124" s="40"/>
      <c r="BL124" s="40"/>
      <c r="BM124" s="40"/>
      <c r="BN124" s="40"/>
      <c r="BO124" s="40"/>
    </row>
    <row r="125" spans="1:67" ht="14.25" customHeight="1">
      <c r="A125" s="38"/>
      <c r="B125" s="38"/>
      <c r="C125" s="37"/>
      <c r="D125" s="37"/>
      <c r="E125" s="55"/>
      <c r="F125" s="38"/>
      <c r="G125" s="37"/>
      <c r="H125" s="38"/>
      <c r="I125" s="38"/>
      <c r="J125" s="52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I125" s="40"/>
      <c r="BJ125" s="40"/>
      <c r="BK125" s="40"/>
      <c r="BL125" s="40"/>
      <c r="BM125" s="40"/>
      <c r="BN125" s="40"/>
      <c r="BO125" s="40"/>
    </row>
    <row r="126" spans="1:67" ht="14.25" customHeight="1">
      <c r="A126" s="38"/>
      <c r="B126" s="38"/>
      <c r="C126" s="37"/>
      <c r="D126" s="37"/>
      <c r="E126" s="55"/>
      <c r="F126" s="38"/>
      <c r="G126" s="37"/>
      <c r="H126" s="38"/>
      <c r="I126" s="38"/>
      <c r="J126" s="52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I126" s="40"/>
      <c r="BJ126" s="40"/>
      <c r="BK126" s="40"/>
      <c r="BL126" s="40"/>
      <c r="BM126" s="40"/>
      <c r="BN126" s="40"/>
      <c r="BO126" s="40"/>
    </row>
    <row r="127" spans="1:67" ht="14.25" customHeight="1">
      <c r="A127" s="38"/>
      <c r="B127" s="38"/>
      <c r="C127" s="37"/>
      <c r="D127" s="37"/>
      <c r="E127" s="55"/>
      <c r="F127" s="38"/>
      <c r="G127" s="37"/>
      <c r="H127" s="38"/>
      <c r="I127" s="38"/>
      <c r="J127" s="52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O127" s="40"/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I127" s="40"/>
      <c r="BJ127" s="40"/>
      <c r="BK127" s="40"/>
      <c r="BL127" s="40"/>
      <c r="BM127" s="40"/>
      <c r="BN127" s="40"/>
      <c r="BO127" s="40"/>
    </row>
    <row r="128" spans="1:67" ht="14.25" customHeight="1">
      <c r="A128" s="38"/>
      <c r="B128" s="38"/>
      <c r="C128" s="37"/>
      <c r="D128" s="37"/>
      <c r="E128" s="55"/>
      <c r="F128" s="38"/>
      <c r="G128" s="37"/>
      <c r="H128" s="38"/>
      <c r="I128" s="38"/>
      <c r="J128" s="52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O128" s="40"/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I128" s="40"/>
      <c r="BJ128" s="40"/>
      <c r="BK128" s="40"/>
      <c r="BL128" s="40"/>
      <c r="BM128" s="40"/>
      <c r="BN128" s="40"/>
      <c r="BO128" s="40"/>
    </row>
    <row r="129" spans="1:67" ht="14.25" customHeight="1">
      <c r="A129" s="38"/>
      <c r="B129" s="38"/>
      <c r="C129" s="37"/>
      <c r="D129" s="37"/>
      <c r="E129" s="55"/>
      <c r="F129" s="38"/>
      <c r="G129" s="37"/>
      <c r="H129" s="38"/>
      <c r="I129" s="38"/>
      <c r="J129" s="52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O129" s="40"/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I129" s="40"/>
      <c r="BJ129" s="40"/>
      <c r="BK129" s="40"/>
      <c r="BL129" s="40"/>
      <c r="BM129" s="40"/>
      <c r="BN129" s="40"/>
      <c r="BO129" s="40"/>
    </row>
    <row r="130" spans="1:67" ht="14.25" customHeight="1">
      <c r="A130" s="38"/>
      <c r="B130" s="38"/>
      <c r="C130" s="37"/>
      <c r="D130" s="37"/>
      <c r="E130" s="55"/>
      <c r="F130" s="38"/>
      <c r="G130" s="37"/>
      <c r="H130" s="38"/>
      <c r="I130" s="38"/>
      <c r="J130" s="52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O130" s="40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I130" s="40"/>
      <c r="BJ130" s="40"/>
      <c r="BK130" s="40"/>
      <c r="BL130" s="40"/>
      <c r="BM130" s="40"/>
      <c r="BN130" s="40"/>
      <c r="BO130" s="40"/>
    </row>
    <row r="131" spans="1:67" ht="14.25" customHeight="1">
      <c r="A131" s="38"/>
      <c r="B131" s="38"/>
      <c r="C131" s="37"/>
      <c r="D131" s="37"/>
      <c r="E131" s="55"/>
      <c r="F131" s="38"/>
      <c r="G131" s="37"/>
      <c r="H131" s="38"/>
      <c r="I131" s="38"/>
      <c r="J131" s="52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  <c r="AZ131" s="40"/>
      <c r="BA131" s="40"/>
      <c r="BB131" s="40"/>
      <c r="BC131" s="40"/>
      <c r="BD131" s="40"/>
      <c r="BE131" s="40"/>
      <c r="BF131" s="40"/>
      <c r="BG131" s="40"/>
      <c r="BH131" s="40"/>
      <c r="BI131" s="40"/>
      <c r="BJ131" s="40"/>
      <c r="BK131" s="40"/>
      <c r="BL131" s="40"/>
      <c r="BM131" s="40"/>
      <c r="BN131" s="40"/>
      <c r="BO131" s="40"/>
    </row>
    <row r="132" spans="1:67" ht="14.25" customHeight="1">
      <c r="A132" s="38"/>
      <c r="B132" s="38"/>
      <c r="C132" s="37"/>
      <c r="D132" s="37"/>
      <c r="E132" s="55"/>
      <c r="F132" s="38"/>
      <c r="G132" s="37"/>
      <c r="H132" s="38"/>
      <c r="I132" s="38"/>
      <c r="J132" s="52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</row>
    <row r="133" spans="1:67" ht="14.25" customHeight="1">
      <c r="A133" s="38"/>
      <c r="B133" s="38"/>
      <c r="C133" s="37"/>
      <c r="D133" s="37"/>
      <c r="E133" s="55"/>
      <c r="F133" s="38"/>
      <c r="G133" s="37"/>
      <c r="H133" s="38"/>
      <c r="I133" s="38"/>
      <c r="J133" s="52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</row>
    <row r="134" spans="1:67" ht="14.25" customHeight="1">
      <c r="A134" s="38"/>
      <c r="B134" s="38"/>
      <c r="C134" s="37"/>
      <c r="D134" s="37"/>
      <c r="E134" s="55"/>
      <c r="F134" s="38"/>
      <c r="G134" s="37"/>
      <c r="H134" s="38"/>
      <c r="I134" s="38"/>
      <c r="J134" s="52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</row>
    <row r="135" spans="1:67" ht="14.25" customHeight="1">
      <c r="A135" s="38"/>
      <c r="B135" s="38"/>
      <c r="C135" s="37"/>
      <c r="D135" s="37"/>
      <c r="E135" s="55"/>
      <c r="F135" s="38"/>
      <c r="G135" s="37"/>
      <c r="H135" s="38"/>
      <c r="I135" s="38"/>
      <c r="J135" s="52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</row>
    <row r="136" spans="1:67" ht="14.25" customHeight="1">
      <c r="A136" s="38"/>
      <c r="B136" s="38"/>
      <c r="C136" s="37"/>
      <c r="D136" s="37"/>
      <c r="E136" s="55"/>
      <c r="F136" s="38"/>
      <c r="G136" s="37"/>
      <c r="H136" s="38"/>
      <c r="I136" s="38"/>
      <c r="J136" s="52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</row>
    <row r="137" spans="1:67" ht="14.25" customHeight="1">
      <c r="A137" s="38"/>
      <c r="B137" s="38"/>
      <c r="C137" s="37"/>
      <c r="D137" s="37"/>
      <c r="E137" s="55"/>
      <c r="F137" s="38"/>
      <c r="G137" s="37"/>
      <c r="H137" s="38"/>
      <c r="I137" s="38"/>
      <c r="J137" s="52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</row>
    <row r="138" spans="1:67" ht="14.25" customHeight="1">
      <c r="A138" s="38"/>
      <c r="B138" s="38"/>
      <c r="C138" s="37"/>
      <c r="D138" s="37"/>
      <c r="E138" s="55"/>
      <c r="F138" s="38"/>
      <c r="G138" s="37"/>
      <c r="H138" s="38"/>
      <c r="I138" s="38"/>
      <c r="J138" s="52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O138" s="40"/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I138" s="40"/>
      <c r="BJ138" s="40"/>
      <c r="BK138" s="40"/>
      <c r="BL138" s="40"/>
      <c r="BM138" s="40"/>
      <c r="BN138" s="40"/>
      <c r="BO138" s="40"/>
    </row>
    <row r="139" spans="1:67" ht="14.25" customHeight="1">
      <c r="A139" s="38"/>
      <c r="B139" s="38"/>
      <c r="C139" s="37"/>
      <c r="D139" s="37"/>
      <c r="E139" s="55"/>
      <c r="F139" s="38"/>
      <c r="G139" s="37"/>
      <c r="H139" s="38"/>
      <c r="I139" s="38"/>
      <c r="J139" s="52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O139" s="40"/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I139" s="40"/>
      <c r="BJ139" s="40"/>
      <c r="BK139" s="40"/>
      <c r="BL139" s="40"/>
      <c r="BM139" s="40"/>
      <c r="BN139" s="40"/>
      <c r="BO139" s="40"/>
    </row>
    <row r="140" spans="1:67" ht="14.25" customHeight="1">
      <c r="A140" s="38"/>
      <c r="B140" s="38"/>
      <c r="C140" s="37"/>
      <c r="D140" s="37"/>
      <c r="E140" s="55"/>
      <c r="F140" s="38"/>
      <c r="G140" s="37"/>
      <c r="H140" s="38"/>
      <c r="I140" s="38"/>
      <c r="J140" s="52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O140" s="40"/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I140" s="40"/>
      <c r="BJ140" s="40"/>
      <c r="BK140" s="40"/>
      <c r="BL140" s="40"/>
      <c r="BM140" s="40"/>
      <c r="BN140" s="40"/>
      <c r="BO140" s="40"/>
    </row>
    <row r="141" spans="1:67" ht="14.25" customHeight="1">
      <c r="A141" s="38"/>
      <c r="B141" s="38"/>
      <c r="C141" s="37"/>
      <c r="D141" s="37"/>
      <c r="E141" s="55"/>
      <c r="F141" s="38"/>
      <c r="G141" s="37"/>
      <c r="H141" s="38"/>
      <c r="I141" s="38"/>
      <c r="J141" s="52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O141" s="40"/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I141" s="40"/>
      <c r="BJ141" s="40"/>
      <c r="BK141" s="40"/>
      <c r="BL141" s="40"/>
      <c r="BM141" s="40"/>
      <c r="BN141" s="40"/>
      <c r="BO141" s="40"/>
    </row>
    <row r="142" spans="1:67" ht="14.25" customHeight="1">
      <c r="A142" s="38"/>
      <c r="B142" s="38"/>
      <c r="C142" s="37"/>
      <c r="D142" s="37"/>
      <c r="E142" s="55"/>
      <c r="F142" s="38"/>
      <c r="G142" s="37"/>
      <c r="H142" s="38"/>
      <c r="I142" s="38"/>
      <c r="J142" s="52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O142" s="40"/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I142" s="40"/>
      <c r="BJ142" s="40"/>
      <c r="BK142" s="40"/>
      <c r="BL142" s="40"/>
      <c r="BM142" s="40"/>
      <c r="BN142" s="40"/>
      <c r="BO142" s="40"/>
    </row>
    <row r="143" spans="1:67" ht="14.25" customHeight="1">
      <c r="A143" s="38"/>
      <c r="B143" s="38"/>
      <c r="C143" s="37"/>
      <c r="D143" s="37"/>
      <c r="E143" s="55"/>
      <c r="F143" s="38"/>
      <c r="G143" s="37"/>
      <c r="H143" s="38"/>
      <c r="I143" s="38"/>
      <c r="J143" s="52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O143" s="40"/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I143" s="40"/>
      <c r="BJ143" s="40"/>
      <c r="BK143" s="40"/>
      <c r="BL143" s="40"/>
      <c r="BM143" s="40"/>
      <c r="BN143" s="40"/>
      <c r="BO143" s="40"/>
    </row>
    <row r="144" spans="1:67" ht="14.25" customHeight="1">
      <c r="A144" s="38"/>
      <c r="B144" s="38"/>
      <c r="C144" s="37"/>
      <c r="D144" s="37"/>
      <c r="E144" s="55"/>
      <c r="F144" s="38"/>
      <c r="G144" s="37"/>
      <c r="H144" s="38"/>
      <c r="I144" s="38"/>
      <c r="J144" s="52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O144" s="40"/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I144" s="40"/>
      <c r="BJ144" s="40"/>
      <c r="BK144" s="40"/>
      <c r="BL144" s="40"/>
      <c r="BM144" s="40"/>
      <c r="BN144" s="40"/>
      <c r="BO144" s="40"/>
    </row>
    <row r="145" spans="1:67" ht="14.25" customHeight="1">
      <c r="A145" s="38"/>
      <c r="B145" s="38"/>
      <c r="C145" s="37"/>
      <c r="D145" s="37"/>
      <c r="E145" s="55"/>
      <c r="F145" s="38"/>
      <c r="G145" s="37"/>
      <c r="H145" s="38"/>
      <c r="I145" s="38"/>
      <c r="J145" s="52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O145" s="40"/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I145" s="40"/>
      <c r="BJ145" s="40"/>
      <c r="BK145" s="40"/>
      <c r="BL145" s="40"/>
      <c r="BM145" s="40"/>
      <c r="BN145" s="40"/>
      <c r="BO145" s="40"/>
    </row>
    <row r="146" spans="1:67" ht="14.25" customHeight="1">
      <c r="A146" s="38"/>
      <c r="B146" s="38"/>
      <c r="C146" s="37"/>
      <c r="D146" s="37"/>
      <c r="E146" s="55"/>
      <c r="F146" s="38"/>
      <c r="G146" s="37"/>
      <c r="H146" s="38"/>
      <c r="I146" s="38"/>
      <c r="J146" s="52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O146" s="40"/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I146" s="40"/>
      <c r="BJ146" s="40"/>
      <c r="BK146" s="40"/>
      <c r="BL146" s="40"/>
      <c r="BM146" s="40"/>
      <c r="BN146" s="40"/>
      <c r="BO146" s="40"/>
    </row>
    <row r="147" spans="1:67" ht="14.25" customHeight="1">
      <c r="A147" s="38"/>
      <c r="B147" s="38"/>
      <c r="C147" s="37"/>
      <c r="D147" s="37"/>
      <c r="E147" s="55"/>
      <c r="F147" s="38"/>
      <c r="G147" s="37"/>
      <c r="H147" s="38"/>
      <c r="I147" s="38"/>
      <c r="J147" s="52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O147" s="40"/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I147" s="40"/>
      <c r="BJ147" s="40"/>
      <c r="BK147" s="40"/>
      <c r="BL147" s="40"/>
      <c r="BM147" s="40"/>
      <c r="BN147" s="40"/>
      <c r="BO147" s="40"/>
    </row>
    <row r="148" spans="1:67" ht="14.25" customHeight="1">
      <c r="A148" s="38"/>
      <c r="B148" s="38"/>
      <c r="C148" s="37"/>
      <c r="D148" s="37"/>
      <c r="E148" s="55"/>
      <c r="F148" s="38"/>
      <c r="G148" s="37"/>
      <c r="H148" s="38"/>
      <c r="I148" s="38"/>
      <c r="J148" s="52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O148" s="40"/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I148" s="40"/>
      <c r="BJ148" s="40"/>
      <c r="BK148" s="40"/>
      <c r="BL148" s="40"/>
      <c r="BM148" s="40"/>
      <c r="BN148" s="40"/>
      <c r="BO148" s="40"/>
    </row>
    <row r="149" spans="1:67" ht="14.25" customHeight="1">
      <c r="A149" s="38"/>
      <c r="B149" s="38"/>
      <c r="C149" s="37"/>
      <c r="D149" s="37"/>
      <c r="E149" s="55"/>
      <c r="F149" s="38"/>
      <c r="G149" s="37"/>
      <c r="H149" s="38"/>
      <c r="I149" s="38"/>
      <c r="J149" s="52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O149" s="40"/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40"/>
      <c r="BK149" s="40"/>
      <c r="BL149" s="40"/>
      <c r="BM149" s="40"/>
      <c r="BN149" s="40"/>
      <c r="BO149" s="40"/>
    </row>
    <row r="150" spans="1:67" ht="14.25" customHeight="1">
      <c r="A150" s="38"/>
      <c r="B150" s="38"/>
      <c r="C150" s="37"/>
      <c r="D150" s="37"/>
      <c r="E150" s="55"/>
      <c r="F150" s="38"/>
      <c r="G150" s="37"/>
      <c r="H150" s="38"/>
      <c r="I150" s="38"/>
      <c r="J150" s="52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O150" s="40"/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M150" s="40"/>
      <c r="BN150" s="40"/>
      <c r="BO150" s="40"/>
    </row>
    <row r="151" spans="1:67" ht="14.25" customHeight="1">
      <c r="A151" s="38"/>
      <c r="B151" s="38"/>
      <c r="C151" s="37"/>
      <c r="D151" s="37"/>
      <c r="E151" s="55"/>
      <c r="F151" s="38"/>
      <c r="G151" s="37"/>
      <c r="H151" s="38"/>
      <c r="I151" s="38"/>
      <c r="J151" s="52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O151" s="40"/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M151" s="40"/>
      <c r="BN151" s="40"/>
      <c r="BO151" s="40"/>
    </row>
    <row r="152" spans="1:67" ht="14.25" customHeight="1">
      <c r="A152" s="38"/>
      <c r="B152" s="38"/>
      <c r="C152" s="37"/>
      <c r="D152" s="37"/>
      <c r="E152" s="55"/>
      <c r="F152" s="38"/>
      <c r="G152" s="37"/>
      <c r="H152" s="38"/>
      <c r="I152" s="38"/>
      <c r="J152" s="52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O152" s="40"/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40"/>
      <c r="BK152" s="40"/>
      <c r="BL152" s="40"/>
      <c r="BM152" s="40"/>
      <c r="BN152" s="40"/>
      <c r="BO152" s="40"/>
    </row>
    <row r="153" spans="1:67" ht="14.25" customHeight="1">
      <c r="A153" s="38"/>
      <c r="B153" s="38"/>
      <c r="C153" s="37"/>
      <c r="D153" s="37"/>
      <c r="E153" s="55"/>
      <c r="F153" s="38"/>
      <c r="G153" s="37"/>
      <c r="H153" s="38"/>
      <c r="I153" s="38"/>
      <c r="J153" s="52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40"/>
      <c r="BK153" s="40"/>
      <c r="BL153" s="40"/>
      <c r="BM153" s="40"/>
      <c r="BN153" s="40"/>
      <c r="BO153" s="40"/>
    </row>
    <row r="154" spans="1:67" ht="14.25" customHeight="1">
      <c r="A154" s="38"/>
      <c r="B154" s="38"/>
      <c r="C154" s="37"/>
      <c r="D154" s="37"/>
      <c r="E154" s="55"/>
      <c r="F154" s="38"/>
      <c r="G154" s="37"/>
      <c r="H154" s="38"/>
      <c r="I154" s="38"/>
      <c r="J154" s="52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O154" s="40"/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I154" s="40"/>
      <c r="BJ154" s="40"/>
      <c r="BK154" s="40"/>
      <c r="BL154" s="40"/>
      <c r="BM154" s="40"/>
      <c r="BN154" s="40"/>
      <c r="BO154" s="40"/>
    </row>
    <row r="155" spans="1:67" ht="14.25" customHeight="1">
      <c r="A155" s="38"/>
      <c r="B155" s="38"/>
      <c r="C155" s="37"/>
      <c r="D155" s="37"/>
      <c r="E155" s="55"/>
      <c r="F155" s="38"/>
      <c r="G155" s="37"/>
      <c r="H155" s="38"/>
      <c r="I155" s="38"/>
      <c r="J155" s="52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O155" s="40"/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I155" s="40"/>
      <c r="BJ155" s="40"/>
      <c r="BK155" s="40"/>
      <c r="BL155" s="40"/>
      <c r="BM155" s="40"/>
      <c r="BN155" s="40"/>
      <c r="BO155" s="40"/>
    </row>
    <row r="156" spans="1:67" ht="14.25" customHeight="1">
      <c r="A156" s="38"/>
      <c r="B156" s="38"/>
      <c r="C156" s="37"/>
      <c r="D156" s="37"/>
      <c r="E156" s="55"/>
      <c r="F156" s="38"/>
      <c r="G156" s="37"/>
      <c r="H156" s="38"/>
      <c r="I156" s="38"/>
      <c r="J156" s="52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O156" s="40"/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I156" s="40"/>
      <c r="BJ156" s="40"/>
      <c r="BK156" s="40"/>
      <c r="BL156" s="40"/>
      <c r="BM156" s="40"/>
      <c r="BN156" s="40"/>
      <c r="BO156" s="40"/>
    </row>
    <row r="157" spans="1:67" ht="14.25" customHeight="1">
      <c r="A157" s="38"/>
      <c r="B157" s="38"/>
      <c r="C157" s="37"/>
      <c r="D157" s="37"/>
      <c r="E157" s="55"/>
      <c r="F157" s="38"/>
      <c r="G157" s="37"/>
      <c r="H157" s="38"/>
      <c r="I157" s="38"/>
      <c r="J157" s="52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O157" s="40"/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I157" s="40"/>
      <c r="BJ157" s="40"/>
      <c r="BK157" s="40"/>
      <c r="BL157" s="40"/>
      <c r="BM157" s="40"/>
      <c r="BN157" s="40"/>
      <c r="BO157" s="40"/>
    </row>
    <row r="158" spans="1:67" ht="14.25" customHeight="1">
      <c r="A158" s="38"/>
      <c r="B158" s="38"/>
      <c r="C158" s="37"/>
      <c r="D158" s="37"/>
      <c r="E158" s="55"/>
      <c r="F158" s="38"/>
      <c r="G158" s="37"/>
      <c r="H158" s="38"/>
      <c r="I158" s="38"/>
      <c r="J158" s="52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  <c r="AK158" s="40"/>
      <c r="AL158" s="40"/>
      <c r="AM158" s="40"/>
      <c r="AN158" s="40"/>
      <c r="AO158" s="40"/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40"/>
      <c r="BE158" s="40"/>
      <c r="BF158" s="40"/>
      <c r="BG158" s="40"/>
      <c r="BH158" s="40"/>
      <c r="BI158" s="40"/>
      <c r="BJ158" s="40"/>
      <c r="BK158" s="40"/>
      <c r="BL158" s="40"/>
      <c r="BM158" s="40"/>
      <c r="BN158" s="40"/>
      <c r="BO158" s="40"/>
    </row>
    <row r="159" spans="1:67" ht="14.25" customHeight="1">
      <c r="A159" s="38"/>
      <c r="B159" s="38"/>
      <c r="C159" s="37"/>
      <c r="D159" s="37"/>
      <c r="E159" s="55"/>
      <c r="F159" s="38"/>
      <c r="G159" s="37"/>
      <c r="H159" s="38"/>
      <c r="I159" s="38"/>
      <c r="J159" s="52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  <c r="AK159" s="40"/>
      <c r="AL159" s="40"/>
      <c r="AM159" s="40"/>
      <c r="AN159" s="40"/>
      <c r="AO159" s="40"/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40"/>
      <c r="BE159" s="40"/>
      <c r="BF159" s="40"/>
      <c r="BG159" s="40"/>
      <c r="BH159" s="40"/>
      <c r="BI159" s="40"/>
      <c r="BJ159" s="40"/>
      <c r="BK159" s="40"/>
      <c r="BL159" s="40"/>
      <c r="BM159" s="40"/>
      <c r="BN159" s="40"/>
      <c r="BO159" s="40"/>
    </row>
    <row r="160" spans="1:67" ht="14.25" customHeight="1">
      <c r="A160" s="38"/>
      <c r="B160" s="38"/>
      <c r="C160" s="37"/>
      <c r="D160" s="37"/>
      <c r="E160" s="55"/>
      <c r="F160" s="38"/>
      <c r="G160" s="37"/>
      <c r="H160" s="38"/>
      <c r="I160" s="38"/>
      <c r="J160" s="52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  <c r="AK160" s="40"/>
      <c r="AL160" s="40"/>
      <c r="AM160" s="40"/>
      <c r="AN160" s="40"/>
      <c r="AO160" s="40"/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40"/>
      <c r="BE160" s="40"/>
      <c r="BF160" s="40"/>
      <c r="BG160" s="40"/>
      <c r="BH160" s="40"/>
      <c r="BI160" s="40"/>
      <c r="BJ160" s="40"/>
      <c r="BK160" s="40"/>
      <c r="BL160" s="40"/>
      <c r="BM160" s="40"/>
      <c r="BN160" s="40"/>
      <c r="BO160" s="40"/>
    </row>
    <row r="161" spans="1:67" ht="14.25" customHeight="1">
      <c r="A161" s="38"/>
      <c r="B161" s="38"/>
      <c r="C161" s="37"/>
      <c r="D161" s="37"/>
      <c r="E161" s="55"/>
      <c r="F161" s="38"/>
      <c r="G161" s="37"/>
      <c r="H161" s="38"/>
      <c r="I161" s="38"/>
      <c r="J161" s="52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  <c r="AK161" s="40"/>
      <c r="AL161" s="40"/>
      <c r="AM161" s="40"/>
      <c r="AN161" s="40"/>
      <c r="AO161" s="40"/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40"/>
      <c r="BE161" s="40"/>
      <c r="BF161" s="40"/>
      <c r="BG161" s="40"/>
      <c r="BH161" s="40"/>
      <c r="BI161" s="40"/>
      <c r="BJ161" s="40"/>
      <c r="BK161" s="40"/>
      <c r="BL161" s="40"/>
      <c r="BM161" s="40"/>
      <c r="BN161" s="40"/>
      <c r="BO161" s="40"/>
    </row>
    <row r="162" spans="1:67" ht="14.25" customHeight="1">
      <c r="A162" s="38"/>
      <c r="B162" s="38"/>
      <c r="C162" s="37"/>
      <c r="D162" s="37"/>
      <c r="E162" s="55"/>
      <c r="F162" s="38"/>
      <c r="G162" s="37"/>
      <c r="H162" s="38"/>
      <c r="I162" s="38"/>
      <c r="J162" s="52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  <c r="AK162" s="40"/>
      <c r="AL162" s="40"/>
      <c r="AM162" s="40"/>
      <c r="AN162" s="40"/>
      <c r="AO162" s="40"/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40"/>
      <c r="BE162" s="40"/>
      <c r="BF162" s="40"/>
      <c r="BG162" s="40"/>
      <c r="BH162" s="40"/>
      <c r="BI162" s="40"/>
      <c r="BJ162" s="40"/>
      <c r="BK162" s="40"/>
      <c r="BL162" s="40"/>
      <c r="BM162" s="40"/>
      <c r="BN162" s="40"/>
      <c r="BO162" s="40"/>
    </row>
    <row r="163" spans="1:67" ht="14.25" customHeight="1">
      <c r="A163" s="38"/>
      <c r="B163" s="38"/>
      <c r="C163" s="37"/>
      <c r="D163" s="37"/>
      <c r="E163" s="55"/>
      <c r="F163" s="38"/>
      <c r="G163" s="37"/>
      <c r="H163" s="38"/>
      <c r="I163" s="38"/>
      <c r="J163" s="52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  <c r="AK163" s="40"/>
      <c r="AL163" s="40"/>
      <c r="AM163" s="40"/>
      <c r="AN163" s="40"/>
      <c r="AO163" s="40"/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40"/>
      <c r="BE163" s="40"/>
      <c r="BF163" s="40"/>
      <c r="BG163" s="40"/>
      <c r="BH163" s="40"/>
      <c r="BI163" s="40"/>
      <c r="BJ163" s="40"/>
      <c r="BK163" s="40"/>
      <c r="BL163" s="40"/>
      <c r="BM163" s="40"/>
      <c r="BN163" s="40"/>
      <c r="BO163" s="40"/>
    </row>
    <row r="164" spans="1:67" ht="14.25" customHeight="1">
      <c r="A164" s="38"/>
      <c r="B164" s="38"/>
      <c r="C164" s="37"/>
      <c r="D164" s="37"/>
      <c r="E164" s="55"/>
      <c r="F164" s="38"/>
      <c r="G164" s="37"/>
      <c r="H164" s="38"/>
      <c r="I164" s="38"/>
      <c r="J164" s="52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40"/>
      <c r="BE164" s="40"/>
      <c r="BF164" s="40"/>
      <c r="BG164" s="40"/>
      <c r="BH164" s="40"/>
      <c r="BI164" s="40"/>
      <c r="BJ164" s="40"/>
      <c r="BK164" s="40"/>
      <c r="BL164" s="40"/>
      <c r="BM164" s="40"/>
      <c r="BN164" s="40"/>
      <c r="BO164" s="40"/>
    </row>
    <row r="165" spans="1:67" ht="14.25" customHeight="1">
      <c r="A165" s="38"/>
      <c r="B165" s="38"/>
      <c r="C165" s="37"/>
      <c r="D165" s="37"/>
      <c r="E165" s="55"/>
      <c r="F165" s="38"/>
      <c r="G165" s="37"/>
      <c r="H165" s="38"/>
      <c r="I165" s="38"/>
      <c r="J165" s="52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  <c r="AK165" s="40"/>
      <c r="AL165" s="40"/>
      <c r="AM165" s="40"/>
      <c r="AN165" s="40"/>
      <c r="AO165" s="40"/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40"/>
      <c r="BE165" s="40"/>
      <c r="BF165" s="40"/>
      <c r="BG165" s="40"/>
      <c r="BH165" s="40"/>
      <c r="BI165" s="40"/>
      <c r="BJ165" s="40"/>
      <c r="BK165" s="40"/>
      <c r="BL165" s="40"/>
      <c r="BM165" s="40"/>
      <c r="BN165" s="40"/>
      <c r="BO165" s="40"/>
    </row>
    <row r="166" spans="1:67" ht="14.25" customHeight="1">
      <c r="A166" s="38"/>
      <c r="B166" s="38"/>
      <c r="C166" s="37"/>
      <c r="D166" s="37"/>
      <c r="E166" s="55"/>
      <c r="F166" s="38"/>
      <c r="G166" s="37"/>
      <c r="H166" s="38"/>
      <c r="I166" s="38"/>
      <c r="J166" s="52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  <c r="AK166" s="40"/>
      <c r="AL166" s="40"/>
      <c r="AM166" s="40"/>
      <c r="AN166" s="40"/>
      <c r="AO166" s="40"/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40"/>
      <c r="BE166" s="40"/>
      <c r="BF166" s="40"/>
      <c r="BG166" s="40"/>
      <c r="BH166" s="40"/>
      <c r="BI166" s="40"/>
      <c r="BJ166" s="40"/>
      <c r="BK166" s="40"/>
      <c r="BL166" s="40"/>
      <c r="BM166" s="40"/>
      <c r="BN166" s="40"/>
      <c r="BO166" s="40"/>
    </row>
    <row r="167" spans="1:67" ht="14.25" customHeight="1">
      <c r="A167" s="38"/>
      <c r="B167" s="38"/>
      <c r="C167" s="37"/>
      <c r="D167" s="37"/>
      <c r="E167" s="55"/>
      <c r="F167" s="38"/>
      <c r="G167" s="37"/>
      <c r="H167" s="38"/>
      <c r="I167" s="38"/>
      <c r="J167" s="52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  <c r="AK167" s="40"/>
      <c r="AL167" s="40"/>
      <c r="AM167" s="40"/>
      <c r="AN167" s="40"/>
      <c r="AO167" s="40"/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M167" s="40"/>
      <c r="BN167" s="40"/>
      <c r="BO167" s="40"/>
    </row>
    <row r="168" spans="1:67" ht="14.25" customHeight="1">
      <c r="A168" s="38"/>
      <c r="B168" s="38"/>
      <c r="C168" s="37"/>
      <c r="D168" s="37"/>
      <c r="E168" s="55"/>
      <c r="F168" s="38"/>
      <c r="G168" s="37"/>
      <c r="H168" s="38"/>
      <c r="I168" s="38"/>
      <c r="J168" s="52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  <c r="AK168" s="40"/>
      <c r="AL168" s="40"/>
      <c r="AM168" s="40"/>
      <c r="AN168" s="40"/>
      <c r="AO168" s="40"/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40"/>
      <c r="BE168" s="40"/>
      <c r="BF168" s="40"/>
      <c r="BG168" s="40"/>
      <c r="BH168" s="40"/>
      <c r="BI168" s="40"/>
      <c r="BJ168" s="40"/>
      <c r="BK168" s="40"/>
      <c r="BL168" s="40"/>
      <c r="BM168" s="40"/>
      <c r="BN168" s="40"/>
      <c r="BO168" s="40"/>
    </row>
    <row r="169" spans="1:67" ht="14.25" customHeight="1">
      <c r="A169" s="38"/>
      <c r="B169" s="38"/>
      <c r="C169" s="37"/>
      <c r="D169" s="37"/>
      <c r="E169" s="55"/>
      <c r="F169" s="38"/>
      <c r="G169" s="37"/>
      <c r="H169" s="38"/>
      <c r="I169" s="38"/>
      <c r="J169" s="52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  <c r="AK169" s="40"/>
      <c r="AL169" s="40"/>
      <c r="AM169" s="40"/>
      <c r="AN169" s="40"/>
      <c r="AO169" s="40"/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40"/>
      <c r="BE169" s="40"/>
      <c r="BF169" s="40"/>
      <c r="BG169" s="40"/>
      <c r="BH169" s="40"/>
      <c r="BI169" s="40"/>
      <c r="BJ169" s="40"/>
      <c r="BK169" s="40"/>
      <c r="BL169" s="40"/>
      <c r="BM169" s="40"/>
      <c r="BN169" s="40"/>
      <c r="BO169" s="40"/>
    </row>
    <row r="170" spans="1:67" ht="14.25" customHeight="1">
      <c r="A170" s="38"/>
      <c r="B170" s="38"/>
      <c r="C170" s="37"/>
      <c r="D170" s="37"/>
      <c r="E170" s="55"/>
      <c r="F170" s="38"/>
      <c r="G170" s="37"/>
      <c r="H170" s="38"/>
      <c r="I170" s="38"/>
      <c r="J170" s="52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  <c r="AK170" s="40"/>
      <c r="AL170" s="40"/>
      <c r="AM170" s="40"/>
      <c r="AN170" s="40"/>
      <c r="AO170" s="40"/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40"/>
      <c r="BE170" s="40"/>
      <c r="BF170" s="40"/>
      <c r="BG170" s="40"/>
      <c r="BH170" s="40"/>
      <c r="BI170" s="40"/>
      <c r="BJ170" s="40"/>
      <c r="BK170" s="40"/>
      <c r="BL170" s="40"/>
      <c r="BM170" s="40"/>
      <c r="BN170" s="40"/>
      <c r="BO170" s="40"/>
    </row>
    <row r="171" spans="1:67" ht="14.25" customHeight="1">
      <c r="A171" s="38"/>
      <c r="B171" s="38"/>
      <c r="C171" s="37"/>
      <c r="D171" s="37"/>
      <c r="E171" s="55"/>
      <c r="F171" s="38"/>
      <c r="G171" s="37"/>
      <c r="H171" s="38"/>
      <c r="I171" s="38"/>
      <c r="J171" s="52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  <c r="AK171" s="40"/>
      <c r="AL171" s="40"/>
      <c r="AM171" s="40"/>
      <c r="AN171" s="40"/>
      <c r="AO171" s="40"/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M171" s="40"/>
      <c r="BN171" s="40"/>
      <c r="BO171" s="40"/>
    </row>
    <row r="172" spans="1:67" ht="14.25" customHeight="1">
      <c r="A172" s="38"/>
      <c r="B172" s="38"/>
      <c r="C172" s="37"/>
      <c r="D172" s="37"/>
      <c r="E172" s="55"/>
      <c r="F172" s="38"/>
      <c r="G172" s="37"/>
      <c r="H172" s="38"/>
      <c r="I172" s="38"/>
      <c r="J172" s="52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  <c r="AK172" s="40"/>
      <c r="AL172" s="40"/>
      <c r="AM172" s="40"/>
      <c r="AN172" s="40"/>
      <c r="AO172" s="40"/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40"/>
      <c r="BE172" s="40"/>
      <c r="BF172" s="40"/>
      <c r="BG172" s="40"/>
      <c r="BH172" s="40"/>
      <c r="BI172" s="40"/>
      <c r="BJ172" s="40"/>
      <c r="BK172" s="40"/>
      <c r="BL172" s="40"/>
      <c r="BM172" s="40"/>
      <c r="BN172" s="40"/>
      <c r="BO172" s="40"/>
    </row>
    <row r="173" spans="1:67" ht="14.25" customHeight="1">
      <c r="A173" s="38"/>
      <c r="B173" s="38"/>
      <c r="C173" s="37"/>
      <c r="D173" s="37"/>
      <c r="E173" s="55"/>
      <c r="F173" s="38"/>
      <c r="G173" s="37"/>
      <c r="H173" s="38"/>
      <c r="I173" s="38"/>
      <c r="J173" s="52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  <c r="AK173" s="40"/>
      <c r="AL173" s="40"/>
      <c r="AM173" s="40"/>
      <c r="AN173" s="40"/>
      <c r="AO173" s="40"/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M173" s="40"/>
      <c r="BN173" s="40"/>
      <c r="BO173" s="40"/>
    </row>
    <row r="174" spans="1:67" ht="14.25" customHeight="1">
      <c r="A174" s="38"/>
      <c r="B174" s="38"/>
      <c r="C174" s="37"/>
      <c r="D174" s="37"/>
      <c r="E174" s="55"/>
      <c r="F174" s="38"/>
      <c r="G174" s="37"/>
      <c r="H174" s="38"/>
      <c r="I174" s="38"/>
      <c r="J174" s="52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  <c r="AK174" s="40"/>
      <c r="AL174" s="40"/>
      <c r="AM174" s="40"/>
      <c r="AN174" s="40"/>
      <c r="AO174" s="40"/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40"/>
      <c r="BE174" s="40"/>
      <c r="BF174" s="40"/>
      <c r="BG174" s="40"/>
      <c r="BH174" s="40"/>
      <c r="BI174" s="40"/>
      <c r="BJ174" s="40"/>
      <c r="BK174" s="40"/>
      <c r="BL174" s="40"/>
      <c r="BM174" s="40"/>
      <c r="BN174" s="40"/>
      <c r="BO174" s="40"/>
    </row>
    <row r="175" spans="1:67" ht="14.25" customHeight="1">
      <c r="A175" s="38"/>
      <c r="B175" s="38"/>
      <c r="C175" s="37"/>
      <c r="D175" s="37"/>
      <c r="E175" s="55"/>
      <c r="F175" s="38"/>
      <c r="G175" s="37"/>
      <c r="H175" s="38"/>
      <c r="I175" s="38"/>
      <c r="J175" s="52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  <c r="AK175" s="40"/>
      <c r="AL175" s="40"/>
      <c r="AM175" s="40"/>
      <c r="AN175" s="40"/>
      <c r="AO175" s="40"/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40"/>
      <c r="BE175" s="40"/>
      <c r="BF175" s="40"/>
      <c r="BG175" s="40"/>
      <c r="BH175" s="40"/>
      <c r="BI175" s="40"/>
      <c r="BJ175" s="40"/>
      <c r="BK175" s="40"/>
      <c r="BL175" s="40"/>
      <c r="BM175" s="40"/>
      <c r="BN175" s="40"/>
      <c r="BO175" s="40"/>
    </row>
    <row r="176" spans="1:67" ht="14.25" customHeight="1">
      <c r="A176" s="38"/>
      <c r="B176" s="38"/>
      <c r="C176" s="37"/>
      <c r="D176" s="37"/>
      <c r="E176" s="55"/>
      <c r="F176" s="38"/>
      <c r="G176" s="37"/>
      <c r="H176" s="38"/>
      <c r="I176" s="38"/>
      <c r="J176" s="52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  <c r="AK176" s="40"/>
      <c r="AL176" s="40"/>
      <c r="AM176" s="40"/>
      <c r="AN176" s="40"/>
      <c r="AO176" s="40"/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40"/>
      <c r="BE176" s="40"/>
      <c r="BF176" s="40"/>
      <c r="BG176" s="40"/>
      <c r="BH176" s="40"/>
      <c r="BI176" s="40"/>
      <c r="BJ176" s="40"/>
      <c r="BK176" s="40"/>
      <c r="BL176" s="40"/>
      <c r="BM176" s="40"/>
      <c r="BN176" s="40"/>
      <c r="BO176" s="40"/>
    </row>
    <row r="177" spans="1:67" ht="14.25" customHeight="1">
      <c r="A177" s="38"/>
      <c r="B177" s="38"/>
      <c r="C177" s="37"/>
      <c r="D177" s="37"/>
      <c r="E177" s="55"/>
      <c r="F177" s="38"/>
      <c r="G177" s="37"/>
      <c r="H177" s="38"/>
      <c r="I177" s="38"/>
      <c r="J177" s="52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  <c r="AK177" s="40"/>
      <c r="AL177" s="40"/>
      <c r="AM177" s="40"/>
      <c r="AN177" s="40"/>
      <c r="AO177" s="40"/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40"/>
      <c r="BE177" s="40"/>
      <c r="BF177" s="40"/>
      <c r="BG177" s="40"/>
      <c r="BH177" s="40"/>
      <c r="BI177" s="40"/>
      <c r="BJ177" s="40"/>
      <c r="BK177" s="40"/>
      <c r="BL177" s="40"/>
      <c r="BM177" s="40"/>
      <c r="BN177" s="40"/>
      <c r="BO177" s="40"/>
    </row>
    <row r="178" spans="1:67" ht="14.25" customHeight="1">
      <c r="A178" s="38"/>
      <c r="B178" s="38"/>
      <c r="C178" s="37"/>
      <c r="D178" s="37"/>
      <c r="E178" s="55"/>
      <c r="F178" s="38"/>
      <c r="G178" s="37"/>
      <c r="H178" s="38"/>
      <c r="I178" s="38"/>
      <c r="J178" s="52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  <c r="AK178" s="40"/>
      <c r="AL178" s="40"/>
      <c r="AM178" s="40"/>
      <c r="AN178" s="40"/>
      <c r="AO178" s="40"/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40"/>
      <c r="BE178" s="40"/>
      <c r="BF178" s="40"/>
      <c r="BG178" s="40"/>
      <c r="BH178" s="40"/>
      <c r="BI178" s="40"/>
      <c r="BJ178" s="40"/>
      <c r="BK178" s="40"/>
      <c r="BL178" s="40"/>
      <c r="BM178" s="40"/>
      <c r="BN178" s="40"/>
      <c r="BO178" s="40"/>
    </row>
    <row r="179" spans="1:67" ht="14.25" customHeight="1">
      <c r="A179" s="38"/>
      <c r="B179" s="38"/>
      <c r="C179" s="37"/>
      <c r="D179" s="37"/>
      <c r="E179" s="55"/>
      <c r="F179" s="38"/>
      <c r="G179" s="37"/>
      <c r="H179" s="38"/>
      <c r="I179" s="38"/>
      <c r="J179" s="52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  <c r="AK179" s="40"/>
      <c r="AL179" s="40"/>
      <c r="AM179" s="40"/>
      <c r="AN179" s="40"/>
      <c r="AO179" s="40"/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M179" s="40"/>
      <c r="BN179" s="40"/>
      <c r="BO179" s="40"/>
    </row>
    <row r="180" spans="1:67" ht="14.25" customHeight="1">
      <c r="A180" s="38"/>
      <c r="B180" s="38"/>
      <c r="C180" s="37"/>
      <c r="D180" s="37"/>
      <c r="E180" s="55"/>
      <c r="F180" s="38"/>
      <c r="G180" s="37"/>
      <c r="H180" s="38"/>
      <c r="I180" s="38"/>
      <c r="J180" s="52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  <c r="AK180" s="40"/>
      <c r="AL180" s="40"/>
      <c r="AM180" s="40"/>
      <c r="AN180" s="40"/>
      <c r="AO180" s="40"/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M180" s="40"/>
      <c r="BN180" s="40"/>
      <c r="BO180" s="40"/>
    </row>
    <row r="181" spans="1:67" ht="14.25" customHeight="1">
      <c r="A181" s="38"/>
      <c r="B181" s="38"/>
      <c r="C181" s="37"/>
      <c r="D181" s="37"/>
      <c r="E181" s="55"/>
      <c r="F181" s="38"/>
      <c r="G181" s="37"/>
      <c r="H181" s="38"/>
      <c r="I181" s="38"/>
      <c r="J181" s="52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  <c r="AK181" s="40"/>
      <c r="AL181" s="40"/>
      <c r="AM181" s="40"/>
      <c r="AN181" s="40"/>
      <c r="AO181" s="40"/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M181" s="40"/>
      <c r="BN181" s="40"/>
      <c r="BO181" s="40"/>
    </row>
    <row r="182" spans="1:67" ht="14.25" customHeight="1">
      <c r="A182" s="38"/>
      <c r="B182" s="38"/>
      <c r="C182" s="37"/>
      <c r="D182" s="37"/>
      <c r="E182" s="55"/>
      <c r="F182" s="38"/>
      <c r="G182" s="37"/>
      <c r="H182" s="38"/>
      <c r="I182" s="38"/>
      <c r="J182" s="52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  <c r="AK182" s="40"/>
      <c r="AL182" s="40"/>
      <c r="AM182" s="40"/>
      <c r="AN182" s="40"/>
      <c r="AO182" s="40"/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M182" s="40"/>
      <c r="BN182" s="40"/>
      <c r="BO182" s="40"/>
    </row>
    <row r="183" spans="1:67" ht="14.25" customHeight="1">
      <c r="A183" s="38"/>
      <c r="B183" s="38"/>
      <c r="C183" s="37"/>
      <c r="D183" s="37"/>
      <c r="E183" s="55"/>
      <c r="F183" s="38"/>
      <c r="G183" s="37"/>
      <c r="H183" s="38"/>
      <c r="I183" s="38"/>
      <c r="J183" s="52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  <c r="AK183" s="40"/>
      <c r="AL183" s="40"/>
      <c r="AM183" s="40"/>
      <c r="AN183" s="40"/>
      <c r="AO183" s="40"/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M183" s="40"/>
      <c r="BN183" s="40"/>
      <c r="BO183" s="40"/>
    </row>
    <row r="184" spans="1:67" ht="14.25" customHeight="1">
      <c r="A184" s="38"/>
      <c r="B184" s="38"/>
      <c r="C184" s="37"/>
      <c r="D184" s="37"/>
      <c r="E184" s="55"/>
      <c r="F184" s="38"/>
      <c r="G184" s="37"/>
      <c r="H184" s="38"/>
      <c r="I184" s="38"/>
      <c r="J184" s="52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  <c r="AK184" s="40"/>
      <c r="AL184" s="40"/>
      <c r="AM184" s="40"/>
      <c r="AN184" s="40"/>
      <c r="AO184" s="40"/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M184" s="40"/>
      <c r="BN184" s="40"/>
      <c r="BO184" s="40"/>
    </row>
    <row r="185" spans="1:67" ht="14.25" customHeight="1">
      <c r="A185" s="38"/>
      <c r="B185" s="38"/>
      <c r="C185" s="37"/>
      <c r="D185" s="37"/>
      <c r="E185" s="55"/>
      <c r="F185" s="38"/>
      <c r="G185" s="37"/>
      <c r="H185" s="38"/>
      <c r="I185" s="38"/>
      <c r="J185" s="52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  <c r="AK185" s="40"/>
      <c r="AL185" s="40"/>
      <c r="AM185" s="40"/>
      <c r="AN185" s="40"/>
      <c r="AO185" s="40"/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M185" s="40"/>
      <c r="BN185" s="40"/>
      <c r="BO185" s="40"/>
    </row>
    <row r="186" spans="1:67" ht="14.25" customHeight="1">
      <c r="A186" s="38"/>
      <c r="B186" s="38"/>
      <c r="C186" s="37"/>
      <c r="D186" s="37"/>
      <c r="E186" s="55"/>
      <c r="F186" s="38"/>
      <c r="G186" s="37"/>
      <c r="H186" s="38"/>
      <c r="I186" s="38"/>
      <c r="J186" s="52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  <c r="AK186" s="40"/>
      <c r="AL186" s="40"/>
      <c r="AM186" s="40"/>
      <c r="AN186" s="40"/>
      <c r="AO186" s="40"/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40"/>
      <c r="BE186" s="40"/>
      <c r="BF186" s="40"/>
      <c r="BG186" s="40"/>
      <c r="BH186" s="40"/>
      <c r="BI186" s="40"/>
      <c r="BJ186" s="40"/>
      <c r="BK186" s="40"/>
      <c r="BL186" s="40"/>
      <c r="BM186" s="40"/>
      <c r="BN186" s="40"/>
      <c r="BO186" s="40"/>
    </row>
    <row r="187" spans="1:67" ht="14.25" customHeight="1">
      <c r="A187" s="38"/>
      <c r="B187" s="38"/>
      <c r="C187" s="37"/>
      <c r="D187" s="37"/>
      <c r="E187" s="55"/>
      <c r="F187" s="38"/>
      <c r="G187" s="37"/>
      <c r="H187" s="38"/>
      <c r="I187" s="38"/>
      <c r="J187" s="52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  <c r="AK187" s="40"/>
      <c r="AL187" s="40"/>
      <c r="AM187" s="40"/>
      <c r="AN187" s="40"/>
      <c r="AO187" s="40"/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40"/>
      <c r="BE187" s="40"/>
      <c r="BF187" s="40"/>
      <c r="BG187" s="40"/>
      <c r="BH187" s="40"/>
      <c r="BI187" s="40"/>
      <c r="BJ187" s="40"/>
      <c r="BK187" s="40"/>
      <c r="BL187" s="40"/>
      <c r="BM187" s="40"/>
      <c r="BN187" s="40"/>
      <c r="BO187" s="40"/>
    </row>
    <row r="188" spans="1:67" ht="14.25" customHeight="1">
      <c r="A188" s="38"/>
      <c r="B188" s="38"/>
      <c r="C188" s="37"/>
      <c r="D188" s="37"/>
      <c r="E188" s="55"/>
      <c r="F188" s="38"/>
      <c r="G188" s="37"/>
      <c r="H188" s="38"/>
      <c r="I188" s="38"/>
      <c r="J188" s="52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  <c r="AK188" s="40"/>
      <c r="AL188" s="40"/>
      <c r="AM188" s="40"/>
      <c r="AN188" s="40"/>
      <c r="AO188" s="40"/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40"/>
      <c r="BE188" s="40"/>
      <c r="BF188" s="40"/>
      <c r="BG188" s="40"/>
      <c r="BH188" s="40"/>
      <c r="BI188" s="40"/>
      <c r="BJ188" s="40"/>
      <c r="BK188" s="40"/>
      <c r="BL188" s="40"/>
      <c r="BM188" s="40"/>
      <c r="BN188" s="40"/>
      <c r="BO188" s="40"/>
    </row>
    <row r="189" spans="1:67" ht="14.25" customHeight="1">
      <c r="A189" s="38"/>
      <c r="B189" s="38"/>
      <c r="C189" s="37"/>
      <c r="D189" s="37"/>
      <c r="E189" s="55"/>
      <c r="F189" s="38"/>
      <c r="G189" s="37"/>
      <c r="H189" s="38"/>
      <c r="I189" s="38"/>
      <c r="J189" s="52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  <c r="AK189" s="40"/>
      <c r="AL189" s="40"/>
      <c r="AM189" s="40"/>
      <c r="AN189" s="40"/>
      <c r="AO189" s="40"/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/>
      <c r="BL189" s="40"/>
      <c r="BM189" s="40"/>
      <c r="BN189" s="40"/>
      <c r="BO189" s="40"/>
    </row>
    <row r="190" spans="1:67" ht="14.25" customHeight="1">
      <c r="A190" s="38"/>
      <c r="B190" s="38"/>
      <c r="C190" s="37"/>
      <c r="D190" s="37"/>
      <c r="E190" s="55"/>
      <c r="F190" s="38"/>
      <c r="G190" s="37"/>
      <c r="H190" s="38"/>
      <c r="I190" s="38"/>
      <c r="J190" s="52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  <c r="AK190" s="40"/>
      <c r="AL190" s="40"/>
      <c r="AM190" s="40"/>
      <c r="AN190" s="40"/>
      <c r="AO190" s="40"/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40"/>
      <c r="BE190" s="40"/>
      <c r="BF190" s="40"/>
      <c r="BG190" s="40"/>
      <c r="BH190" s="40"/>
      <c r="BI190" s="40"/>
      <c r="BJ190" s="40"/>
      <c r="BK190" s="40"/>
      <c r="BL190" s="40"/>
      <c r="BM190" s="40"/>
      <c r="BN190" s="40"/>
      <c r="BO190" s="40"/>
    </row>
    <row r="191" spans="1:67" ht="14.25" customHeight="1">
      <c r="A191" s="38"/>
      <c r="B191" s="38"/>
      <c r="C191" s="37"/>
      <c r="D191" s="37"/>
      <c r="E191" s="55"/>
      <c r="F191" s="38"/>
      <c r="G191" s="37"/>
      <c r="H191" s="38"/>
      <c r="I191" s="38"/>
      <c r="J191" s="52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  <c r="AK191" s="40"/>
      <c r="AL191" s="40"/>
      <c r="AM191" s="40"/>
      <c r="AN191" s="40"/>
      <c r="AO191" s="40"/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40"/>
      <c r="BE191" s="40"/>
      <c r="BF191" s="40"/>
      <c r="BG191" s="40"/>
      <c r="BH191" s="40"/>
      <c r="BI191" s="40"/>
      <c r="BJ191" s="40"/>
      <c r="BK191" s="40"/>
      <c r="BL191" s="40"/>
      <c r="BM191" s="40"/>
      <c r="BN191" s="40"/>
      <c r="BO191" s="40"/>
    </row>
    <row r="192" spans="1:67" ht="14.25" customHeight="1">
      <c r="A192" s="38"/>
      <c r="B192" s="38"/>
      <c r="C192" s="37"/>
      <c r="D192" s="37"/>
      <c r="E192" s="55"/>
      <c r="F192" s="38"/>
      <c r="G192" s="37"/>
      <c r="H192" s="38"/>
      <c r="I192" s="38"/>
      <c r="J192" s="52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  <c r="AK192" s="40"/>
      <c r="AL192" s="40"/>
      <c r="AM192" s="40"/>
      <c r="AN192" s="40"/>
      <c r="AO192" s="40"/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40"/>
      <c r="BE192" s="40"/>
      <c r="BF192" s="40"/>
      <c r="BG192" s="40"/>
      <c r="BH192" s="40"/>
      <c r="BI192" s="40"/>
      <c r="BJ192" s="40"/>
      <c r="BK192" s="40"/>
      <c r="BL192" s="40"/>
      <c r="BM192" s="40"/>
      <c r="BN192" s="40"/>
      <c r="BO192" s="40"/>
    </row>
    <row r="193" spans="1:67" ht="14.25" customHeight="1">
      <c r="A193" s="38"/>
      <c r="B193" s="38"/>
      <c r="C193" s="37"/>
      <c r="D193" s="37"/>
      <c r="E193" s="55"/>
      <c r="F193" s="38"/>
      <c r="G193" s="37"/>
      <c r="H193" s="38"/>
      <c r="I193" s="38"/>
      <c r="J193" s="52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  <c r="AK193" s="40"/>
      <c r="AL193" s="40"/>
      <c r="AM193" s="40"/>
      <c r="AN193" s="40"/>
      <c r="AO193" s="40"/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40"/>
      <c r="BE193" s="40"/>
      <c r="BF193" s="40"/>
      <c r="BG193" s="40"/>
      <c r="BH193" s="40"/>
      <c r="BI193" s="40"/>
      <c r="BJ193" s="40"/>
      <c r="BK193" s="40"/>
      <c r="BL193" s="40"/>
      <c r="BM193" s="40"/>
      <c r="BN193" s="40"/>
      <c r="BO193" s="40"/>
    </row>
    <row r="194" spans="1:67" ht="14.25" customHeight="1">
      <c r="A194" s="38"/>
      <c r="B194" s="38"/>
      <c r="C194" s="37"/>
      <c r="D194" s="37"/>
      <c r="E194" s="55"/>
      <c r="F194" s="38"/>
      <c r="G194" s="37"/>
      <c r="H194" s="38"/>
      <c r="I194" s="38"/>
      <c r="J194" s="52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  <c r="AK194" s="40"/>
      <c r="AL194" s="40"/>
      <c r="AM194" s="40"/>
      <c r="AN194" s="40"/>
      <c r="AO194" s="40"/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40"/>
      <c r="BE194" s="40"/>
      <c r="BF194" s="40"/>
      <c r="BG194" s="40"/>
      <c r="BH194" s="40"/>
      <c r="BI194" s="40"/>
      <c r="BJ194" s="40"/>
      <c r="BK194" s="40"/>
      <c r="BL194" s="40"/>
      <c r="BM194" s="40"/>
      <c r="BN194" s="40"/>
      <c r="BO194" s="40"/>
    </row>
    <row r="195" spans="1:67" ht="14.25" customHeight="1">
      <c r="A195" s="38"/>
      <c r="B195" s="38"/>
      <c r="C195" s="37"/>
      <c r="D195" s="37"/>
      <c r="E195" s="55"/>
      <c r="F195" s="38"/>
      <c r="G195" s="37"/>
      <c r="H195" s="38"/>
      <c r="I195" s="38"/>
      <c r="J195" s="52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  <c r="AK195" s="40"/>
      <c r="AL195" s="40"/>
      <c r="AM195" s="40"/>
      <c r="AN195" s="40"/>
      <c r="AO195" s="40"/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40"/>
      <c r="BE195" s="40"/>
      <c r="BF195" s="40"/>
      <c r="BG195" s="40"/>
      <c r="BH195" s="40"/>
      <c r="BI195" s="40"/>
      <c r="BJ195" s="40"/>
      <c r="BK195" s="40"/>
      <c r="BL195" s="40"/>
      <c r="BM195" s="40"/>
      <c r="BN195" s="40"/>
      <c r="BO195" s="40"/>
    </row>
    <row r="196" spans="1:67" ht="14.25" customHeight="1">
      <c r="A196" s="38"/>
      <c r="B196" s="38"/>
      <c r="C196" s="37"/>
      <c r="D196" s="37"/>
      <c r="E196" s="55"/>
      <c r="F196" s="38"/>
      <c r="G196" s="37"/>
      <c r="H196" s="38"/>
      <c r="I196" s="38"/>
      <c r="J196" s="52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  <c r="AK196" s="40"/>
      <c r="AL196" s="40"/>
      <c r="AM196" s="40"/>
      <c r="AN196" s="40"/>
      <c r="AO196" s="40"/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40"/>
      <c r="BE196" s="40"/>
      <c r="BF196" s="40"/>
      <c r="BG196" s="40"/>
      <c r="BH196" s="40"/>
      <c r="BI196" s="40"/>
      <c r="BJ196" s="40"/>
      <c r="BK196" s="40"/>
      <c r="BL196" s="40"/>
      <c r="BM196" s="40"/>
      <c r="BN196" s="40"/>
      <c r="BO196" s="40"/>
    </row>
    <row r="197" spans="1:67" ht="14.25" customHeight="1">
      <c r="A197" s="38"/>
      <c r="B197" s="38"/>
      <c r="C197" s="37"/>
      <c r="D197" s="37"/>
      <c r="E197" s="55"/>
      <c r="F197" s="38"/>
      <c r="G197" s="37"/>
      <c r="H197" s="38"/>
      <c r="I197" s="38"/>
      <c r="J197" s="52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  <c r="AK197" s="40"/>
      <c r="AL197" s="40"/>
      <c r="AM197" s="40"/>
      <c r="AN197" s="40"/>
      <c r="AO197" s="40"/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40"/>
      <c r="BE197" s="40"/>
      <c r="BF197" s="40"/>
      <c r="BG197" s="40"/>
      <c r="BH197" s="40"/>
      <c r="BI197" s="40"/>
      <c r="BJ197" s="40"/>
      <c r="BK197" s="40"/>
      <c r="BL197" s="40"/>
      <c r="BM197" s="40"/>
      <c r="BN197" s="40"/>
      <c r="BO197" s="40"/>
    </row>
    <row r="198" spans="1:67" ht="14.25" customHeight="1">
      <c r="A198" s="38"/>
      <c r="B198" s="38"/>
      <c r="C198" s="37"/>
      <c r="D198" s="37"/>
      <c r="E198" s="55"/>
      <c r="F198" s="38"/>
      <c r="G198" s="37"/>
      <c r="H198" s="38"/>
      <c r="I198" s="38"/>
      <c r="J198" s="52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  <c r="AK198" s="40"/>
      <c r="AL198" s="40"/>
      <c r="AM198" s="40"/>
      <c r="AN198" s="40"/>
      <c r="AO198" s="40"/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  <c r="BA198" s="40"/>
      <c r="BB198" s="40"/>
      <c r="BC198" s="40"/>
      <c r="BD198" s="40"/>
      <c r="BE198" s="40"/>
      <c r="BF198" s="40"/>
      <c r="BG198" s="40"/>
      <c r="BH198" s="40"/>
      <c r="BI198" s="40"/>
      <c r="BJ198" s="40"/>
      <c r="BK198" s="40"/>
      <c r="BL198" s="40"/>
      <c r="BM198" s="40"/>
      <c r="BN198" s="40"/>
      <c r="BO198" s="40"/>
    </row>
    <row r="199" spans="1:67" ht="14.25" customHeight="1">
      <c r="A199" s="38"/>
      <c r="B199" s="38"/>
      <c r="C199" s="37"/>
      <c r="D199" s="37"/>
      <c r="E199" s="55"/>
      <c r="F199" s="38"/>
      <c r="G199" s="37"/>
      <c r="H199" s="38"/>
      <c r="I199" s="38"/>
      <c r="J199" s="52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  <c r="AK199" s="40"/>
      <c r="AL199" s="40"/>
      <c r="AM199" s="40"/>
      <c r="AN199" s="40"/>
      <c r="AO199" s="40"/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  <c r="BA199" s="40"/>
      <c r="BB199" s="40"/>
      <c r="BC199" s="40"/>
      <c r="BD199" s="40"/>
      <c r="BE199" s="40"/>
      <c r="BF199" s="40"/>
      <c r="BG199" s="40"/>
      <c r="BH199" s="40"/>
      <c r="BI199" s="40"/>
      <c r="BJ199" s="40"/>
      <c r="BK199" s="40"/>
      <c r="BL199" s="40"/>
      <c r="BM199" s="40"/>
      <c r="BN199" s="40"/>
      <c r="BO199" s="40"/>
    </row>
    <row r="200" spans="1:67" ht="14.25" customHeight="1">
      <c r="A200" s="38"/>
      <c r="B200" s="38"/>
      <c r="C200" s="37"/>
      <c r="D200" s="37"/>
      <c r="E200" s="55"/>
      <c r="F200" s="38"/>
      <c r="G200" s="37"/>
      <c r="H200" s="38"/>
      <c r="I200" s="38"/>
      <c r="J200" s="52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  <c r="AK200" s="40"/>
      <c r="AL200" s="40"/>
      <c r="AM200" s="40"/>
      <c r="AN200" s="40"/>
      <c r="AO200" s="40"/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  <c r="BA200" s="40"/>
      <c r="BB200" s="40"/>
      <c r="BC200" s="40"/>
      <c r="BD200" s="40"/>
      <c r="BE200" s="40"/>
      <c r="BF200" s="40"/>
      <c r="BG200" s="40"/>
      <c r="BH200" s="40"/>
      <c r="BI200" s="40"/>
      <c r="BJ200" s="40"/>
      <c r="BK200" s="40"/>
      <c r="BL200" s="40"/>
      <c r="BM200" s="40"/>
      <c r="BN200" s="40"/>
      <c r="BO200" s="40"/>
    </row>
    <row r="201" spans="1:67" ht="14.25" customHeight="1">
      <c r="A201" s="38"/>
      <c r="B201" s="38"/>
      <c r="C201" s="37"/>
      <c r="D201" s="37"/>
      <c r="E201" s="55"/>
      <c r="F201" s="38"/>
      <c r="G201" s="37"/>
      <c r="H201" s="38"/>
      <c r="I201" s="38"/>
      <c r="J201" s="52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  <c r="AK201" s="40"/>
      <c r="AL201" s="40"/>
      <c r="AM201" s="40"/>
      <c r="AN201" s="40"/>
      <c r="AO201" s="40"/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  <c r="BA201" s="40"/>
      <c r="BB201" s="40"/>
      <c r="BC201" s="40"/>
      <c r="BD201" s="40"/>
      <c r="BE201" s="40"/>
      <c r="BF201" s="40"/>
      <c r="BG201" s="40"/>
      <c r="BH201" s="40"/>
      <c r="BI201" s="40"/>
      <c r="BJ201" s="40"/>
      <c r="BK201" s="40"/>
      <c r="BL201" s="40"/>
      <c r="BM201" s="40"/>
      <c r="BN201" s="40"/>
      <c r="BO201" s="40"/>
    </row>
    <row r="202" spans="1:67" ht="14.25" customHeight="1">
      <c r="A202" s="38"/>
      <c r="B202" s="38"/>
      <c r="C202" s="37"/>
      <c r="D202" s="37"/>
      <c r="E202" s="55"/>
      <c r="F202" s="38"/>
      <c r="G202" s="37"/>
      <c r="H202" s="38"/>
      <c r="I202" s="38"/>
      <c r="J202" s="52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  <c r="AK202" s="40"/>
      <c r="AL202" s="40"/>
      <c r="AM202" s="40"/>
      <c r="AN202" s="40"/>
      <c r="AO202" s="40"/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  <c r="BA202" s="40"/>
      <c r="BB202" s="40"/>
      <c r="BC202" s="40"/>
      <c r="BD202" s="40"/>
      <c r="BE202" s="40"/>
      <c r="BF202" s="40"/>
      <c r="BG202" s="40"/>
      <c r="BH202" s="40"/>
      <c r="BI202" s="40"/>
      <c r="BJ202" s="40"/>
      <c r="BK202" s="40"/>
      <c r="BL202" s="40"/>
      <c r="BM202" s="40"/>
      <c r="BN202" s="40"/>
      <c r="BO202" s="40"/>
    </row>
    <row r="203" spans="1:67" ht="14.25" customHeight="1">
      <c r="A203" s="38"/>
      <c r="B203" s="38"/>
      <c r="C203" s="37"/>
      <c r="D203" s="37"/>
      <c r="E203" s="55"/>
      <c r="F203" s="38"/>
      <c r="G203" s="37"/>
      <c r="H203" s="38"/>
      <c r="I203" s="38"/>
      <c r="J203" s="52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  <c r="AK203" s="40"/>
      <c r="AL203" s="40"/>
      <c r="AM203" s="40"/>
      <c r="AN203" s="40"/>
      <c r="AO203" s="40"/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  <c r="BA203" s="40"/>
      <c r="BB203" s="40"/>
      <c r="BC203" s="40"/>
      <c r="BD203" s="40"/>
      <c r="BE203" s="40"/>
      <c r="BF203" s="40"/>
      <c r="BG203" s="40"/>
      <c r="BH203" s="40"/>
      <c r="BI203" s="40"/>
      <c r="BJ203" s="40"/>
      <c r="BK203" s="40"/>
      <c r="BL203" s="40"/>
      <c r="BM203" s="40"/>
      <c r="BN203" s="40"/>
      <c r="BO203" s="40"/>
    </row>
    <row r="204" spans="1:67" ht="14.25" customHeight="1">
      <c r="A204" s="38"/>
      <c r="B204" s="38"/>
      <c r="C204" s="37"/>
      <c r="D204" s="37"/>
      <c r="E204" s="55"/>
      <c r="F204" s="38"/>
      <c r="G204" s="37"/>
      <c r="H204" s="38"/>
      <c r="I204" s="38"/>
      <c r="J204" s="52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  <c r="AK204" s="40"/>
      <c r="AL204" s="40"/>
      <c r="AM204" s="40"/>
      <c r="AN204" s="40"/>
      <c r="AO204" s="40"/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  <c r="BA204" s="40"/>
      <c r="BB204" s="40"/>
      <c r="BC204" s="40"/>
      <c r="BD204" s="40"/>
      <c r="BE204" s="40"/>
      <c r="BF204" s="40"/>
      <c r="BG204" s="40"/>
      <c r="BH204" s="40"/>
      <c r="BI204" s="40"/>
      <c r="BJ204" s="40"/>
      <c r="BK204" s="40"/>
      <c r="BL204" s="40"/>
      <c r="BM204" s="40"/>
      <c r="BN204" s="40"/>
      <c r="BO204" s="40"/>
    </row>
    <row r="205" spans="1:67" ht="14.25" customHeight="1">
      <c r="A205" s="38"/>
      <c r="B205" s="38"/>
      <c r="C205" s="37"/>
      <c r="D205" s="37"/>
      <c r="E205" s="55"/>
      <c r="F205" s="38"/>
      <c r="G205" s="37"/>
      <c r="H205" s="38"/>
      <c r="I205" s="38"/>
      <c r="J205" s="52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  <c r="AK205" s="40"/>
      <c r="AL205" s="40"/>
      <c r="AM205" s="40"/>
      <c r="AN205" s="40"/>
      <c r="AO205" s="40"/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  <c r="BA205" s="40"/>
      <c r="BB205" s="40"/>
      <c r="BC205" s="40"/>
      <c r="BD205" s="40"/>
      <c r="BE205" s="40"/>
      <c r="BF205" s="40"/>
      <c r="BG205" s="40"/>
      <c r="BH205" s="40"/>
      <c r="BI205" s="40"/>
      <c r="BJ205" s="40"/>
      <c r="BK205" s="40"/>
      <c r="BL205" s="40"/>
      <c r="BM205" s="40"/>
      <c r="BN205" s="40"/>
      <c r="BO205" s="40"/>
    </row>
    <row r="206" spans="1:67" ht="14.25" customHeight="1">
      <c r="A206" s="38"/>
      <c r="B206" s="38"/>
      <c r="C206" s="37"/>
      <c r="D206" s="37"/>
      <c r="E206" s="55"/>
      <c r="F206" s="38"/>
      <c r="G206" s="37"/>
      <c r="H206" s="38"/>
      <c r="I206" s="38"/>
      <c r="J206" s="52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  <c r="AK206" s="40"/>
      <c r="AL206" s="40"/>
      <c r="AM206" s="40"/>
      <c r="AN206" s="40"/>
      <c r="AO206" s="40"/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  <c r="BA206" s="40"/>
      <c r="BB206" s="40"/>
      <c r="BC206" s="40"/>
      <c r="BD206" s="40"/>
      <c r="BE206" s="40"/>
      <c r="BF206" s="40"/>
      <c r="BG206" s="40"/>
      <c r="BH206" s="40"/>
      <c r="BI206" s="40"/>
      <c r="BJ206" s="40"/>
      <c r="BK206" s="40"/>
      <c r="BL206" s="40"/>
      <c r="BM206" s="40"/>
      <c r="BN206" s="40"/>
      <c r="BO206" s="40"/>
    </row>
    <row r="207" spans="1:67" ht="14.25" customHeight="1">
      <c r="A207" s="38"/>
      <c r="B207" s="38"/>
      <c r="C207" s="37"/>
      <c r="D207" s="37"/>
      <c r="E207" s="55"/>
      <c r="F207" s="38"/>
      <c r="G207" s="37"/>
      <c r="H207" s="38"/>
      <c r="I207" s="38"/>
      <c r="J207" s="52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  <c r="AK207" s="40"/>
      <c r="AL207" s="40"/>
      <c r="AM207" s="40"/>
      <c r="AN207" s="40"/>
      <c r="AO207" s="40"/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  <c r="BA207" s="40"/>
      <c r="BB207" s="40"/>
      <c r="BC207" s="40"/>
      <c r="BD207" s="40"/>
      <c r="BE207" s="40"/>
      <c r="BF207" s="40"/>
      <c r="BG207" s="40"/>
      <c r="BH207" s="40"/>
      <c r="BI207" s="40"/>
      <c r="BJ207" s="40"/>
      <c r="BK207" s="40"/>
      <c r="BL207" s="40"/>
      <c r="BM207" s="40"/>
      <c r="BN207" s="40"/>
      <c r="BO207" s="40"/>
    </row>
    <row r="208" spans="1:67" ht="14.25" customHeight="1">
      <c r="A208" s="38"/>
      <c r="B208" s="38"/>
      <c r="C208" s="37"/>
      <c r="D208" s="37"/>
      <c r="E208" s="55"/>
      <c r="F208" s="38"/>
      <c r="G208" s="37"/>
      <c r="H208" s="38"/>
      <c r="I208" s="38"/>
      <c r="J208" s="52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  <c r="AK208" s="40"/>
      <c r="AL208" s="40"/>
      <c r="AM208" s="40"/>
      <c r="AN208" s="40"/>
      <c r="AO208" s="40"/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  <c r="BA208" s="40"/>
      <c r="BB208" s="40"/>
      <c r="BC208" s="40"/>
      <c r="BD208" s="40"/>
      <c r="BE208" s="40"/>
      <c r="BF208" s="40"/>
      <c r="BG208" s="40"/>
      <c r="BH208" s="40"/>
      <c r="BI208" s="40"/>
      <c r="BJ208" s="40"/>
      <c r="BK208" s="40"/>
      <c r="BL208" s="40"/>
      <c r="BM208" s="40"/>
      <c r="BN208" s="40"/>
      <c r="BO208" s="40"/>
    </row>
    <row r="209" spans="1:67" ht="14.25" customHeight="1">
      <c r="A209" s="38"/>
      <c r="B209" s="38"/>
      <c r="C209" s="37"/>
      <c r="D209" s="37"/>
      <c r="E209" s="55"/>
      <c r="F209" s="38"/>
      <c r="G209" s="37"/>
      <c r="H209" s="38"/>
      <c r="I209" s="38"/>
      <c r="J209" s="52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  <c r="AK209" s="40"/>
      <c r="AL209" s="40"/>
      <c r="AM209" s="40"/>
      <c r="AN209" s="40"/>
      <c r="AO209" s="40"/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  <c r="BA209" s="40"/>
      <c r="BB209" s="40"/>
      <c r="BC209" s="40"/>
      <c r="BD209" s="40"/>
      <c r="BE209" s="40"/>
      <c r="BF209" s="40"/>
      <c r="BG209" s="40"/>
      <c r="BH209" s="40"/>
      <c r="BI209" s="40"/>
      <c r="BJ209" s="40"/>
      <c r="BK209" s="40"/>
      <c r="BL209" s="40"/>
      <c r="BM209" s="40"/>
      <c r="BN209" s="40"/>
      <c r="BO209" s="40"/>
    </row>
    <row r="210" spans="1:67" ht="14.25" customHeight="1">
      <c r="A210" s="38"/>
      <c r="B210" s="38"/>
      <c r="C210" s="37"/>
      <c r="D210" s="37"/>
      <c r="E210" s="55"/>
      <c r="F210" s="38"/>
      <c r="G210" s="37"/>
      <c r="H210" s="38"/>
      <c r="I210" s="38"/>
      <c r="J210" s="52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  <c r="AK210" s="40"/>
      <c r="AL210" s="40"/>
      <c r="AM210" s="40"/>
      <c r="AN210" s="40"/>
      <c r="AO210" s="40"/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  <c r="BA210" s="40"/>
      <c r="BB210" s="40"/>
      <c r="BC210" s="40"/>
      <c r="BD210" s="40"/>
      <c r="BE210" s="40"/>
      <c r="BF210" s="40"/>
      <c r="BG210" s="40"/>
      <c r="BH210" s="40"/>
      <c r="BI210" s="40"/>
      <c r="BJ210" s="40"/>
      <c r="BK210" s="40"/>
      <c r="BL210" s="40"/>
      <c r="BM210" s="40"/>
      <c r="BN210" s="40"/>
      <c r="BO210" s="40"/>
    </row>
    <row r="211" spans="1:67" ht="14.25" customHeight="1">
      <c r="A211" s="38"/>
      <c r="B211" s="38"/>
      <c r="C211" s="37"/>
      <c r="D211" s="37"/>
      <c r="E211" s="55"/>
      <c r="F211" s="38"/>
      <c r="G211" s="37"/>
      <c r="H211" s="38"/>
      <c r="I211" s="38"/>
      <c r="J211" s="52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  <c r="AK211" s="40"/>
      <c r="AL211" s="40"/>
      <c r="AM211" s="40"/>
      <c r="AN211" s="40"/>
      <c r="AO211" s="40"/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  <c r="BA211" s="40"/>
      <c r="BB211" s="40"/>
      <c r="BC211" s="40"/>
      <c r="BD211" s="40"/>
      <c r="BE211" s="40"/>
      <c r="BF211" s="40"/>
      <c r="BG211" s="40"/>
      <c r="BH211" s="40"/>
      <c r="BI211" s="40"/>
      <c r="BJ211" s="40"/>
      <c r="BK211" s="40"/>
      <c r="BL211" s="40"/>
      <c r="BM211" s="40"/>
      <c r="BN211" s="40"/>
      <c r="BO211" s="40"/>
    </row>
    <row r="212" spans="1:67" ht="14.25" customHeight="1">
      <c r="A212" s="38"/>
      <c r="B212" s="38"/>
      <c r="C212" s="37"/>
      <c r="D212" s="37"/>
      <c r="E212" s="55"/>
      <c r="F212" s="38"/>
      <c r="G212" s="37"/>
      <c r="H212" s="38"/>
      <c r="I212" s="38"/>
      <c r="J212" s="52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  <c r="AK212" s="40"/>
      <c r="AL212" s="40"/>
      <c r="AM212" s="40"/>
      <c r="AN212" s="40"/>
      <c r="AO212" s="40"/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  <c r="BA212" s="40"/>
      <c r="BB212" s="40"/>
      <c r="BC212" s="40"/>
      <c r="BD212" s="40"/>
      <c r="BE212" s="40"/>
      <c r="BF212" s="40"/>
      <c r="BG212" s="40"/>
      <c r="BH212" s="40"/>
      <c r="BI212" s="40"/>
      <c r="BJ212" s="40"/>
      <c r="BK212" s="40"/>
      <c r="BL212" s="40"/>
      <c r="BM212" s="40"/>
      <c r="BN212" s="40"/>
      <c r="BO212" s="40"/>
    </row>
    <row r="213" spans="1:67" ht="14.25" customHeight="1">
      <c r="A213" s="38"/>
      <c r="B213" s="38"/>
      <c r="C213" s="37"/>
      <c r="D213" s="37"/>
      <c r="E213" s="55"/>
      <c r="F213" s="38"/>
      <c r="G213" s="37"/>
      <c r="H213" s="38"/>
      <c r="I213" s="38"/>
      <c r="J213" s="52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  <c r="AK213" s="40"/>
      <c r="AL213" s="40"/>
      <c r="AM213" s="40"/>
      <c r="AN213" s="40"/>
      <c r="AO213" s="40"/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  <c r="BA213" s="40"/>
      <c r="BB213" s="40"/>
      <c r="BC213" s="40"/>
      <c r="BD213" s="40"/>
      <c r="BE213" s="40"/>
      <c r="BF213" s="40"/>
      <c r="BG213" s="40"/>
      <c r="BH213" s="40"/>
      <c r="BI213" s="40"/>
      <c r="BJ213" s="40"/>
      <c r="BK213" s="40"/>
      <c r="BL213" s="40"/>
      <c r="BM213" s="40"/>
      <c r="BN213" s="40"/>
      <c r="BO213" s="40"/>
    </row>
    <row r="214" spans="1:67" ht="14.25" customHeight="1">
      <c r="A214" s="38"/>
      <c r="B214" s="38"/>
      <c r="C214" s="37"/>
      <c r="D214" s="37"/>
      <c r="E214" s="55"/>
      <c r="F214" s="38"/>
      <c r="G214" s="37"/>
      <c r="H214" s="38"/>
      <c r="I214" s="38"/>
      <c r="J214" s="52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  <c r="AK214" s="40"/>
      <c r="AL214" s="40"/>
      <c r="AM214" s="40"/>
      <c r="AN214" s="40"/>
      <c r="AO214" s="40"/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  <c r="BA214" s="40"/>
      <c r="BB214" s="40"/>
      <c r="BC214" s="40"/>
      <c r="BD214" s="40"/>
      <c r="BE214" s="40"/>
      <c r="BF214" s="40"/>
      <c r="BG214" s="40"/>
      <c r="BH214" s="40"/>
      <c r="BI214" s="40"/>
      <c r="BJ214" s="40"/>
      <c r="BK214" s="40"/>
      <c r="BL214" s="40"/>
      <c r="BM214" s="40"/>
      <c r="BN214" s="40"/>
      <c r="BO214" s="40"/>
    </row>
    <row r="215" spans="1:67" ht="14.25" customHeight="1">
      <c r="A215" s="38"/>
      <c r="B215" s="38"/>
      <c r="C215" s="37"/>
      <c r="D215" s="37"/>
      <c r="E215" s="55"/>
      <c r="F215" s="38"/>
      <c r="G215" s="37"/>
      <c r="H215" s="38"/>
      <c r="I215" s="38"/>
      <c r="J215" s="52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  <c r="AK215" s="40"/>
      <c r="AL215" s="40"/>
      <c r="AM215" s="40"/>
      <c r="AN215" s="40"/>
      <c r="AO215" s="40"/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  <c r="BA215" s="40"/>
      <c r="BB215" s="40"/>
      <c r="BC215" s="40"/>
      <c r="BD215" s="40"/>
      <c r="BE215" s="40"/>
      <c r="BF215" s="40"/>
      <c r="BG215" s="40"/>
      <c r="BH215" s="40"/>
      <c r="BI215" s="40"/>
      <c r="BJ215" s="40"/>
      <c r="BK215" s="40"/>
      <c r="BL215" s="40"/>
      <c r="BM215" s="40"/>
      <c r="BN215" s="40"/>
      <c r="BO215" s="40"/>
    </row>
    <row r="216" spans="1:67" ht="14.25" customHeight="1">
      <c r="A216" s="38"/>
      <c r="B216" s="38"/>
      <c r="C216" s="37"/>
      <c r="D216" s="37"/>
      <c r="E216" s="55"/>
      <c r="F216" s="38"/>
      <c r="G216" s="37"/>
      <c r="H216" s="38"/>
      <c r="I216" s="38"/>
      <c r="J216" s="52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  <c r="AK216" s="40"/>
      <c r="AL216" s="40"/>
      <c r="AM216" s="40"/>
      <c r="AN216" s="40"/>
      <c r="AO216" s="40"/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  <c r="BA216" s="40"/>
      <c r="BB216" s="40"/>
      <c r="BC216" s="40"/>
      <c r="BD216" s="40"/>
      <c r="BE216" s="40"/>
      <c r="BF216" s="40"/>
      <c r="BG216" s="40"/>
      <c r="BH216" s="40"/>
      <c r="BI216" s="40"/>
      <c r="BJ216" s="40"/>
      <c r="BK216" s="40"/>
      <c r="BL216" s="40"/>
      <c r="BM216" s="40"/>
      <c r="BN216" s="40"/>
      <c r="BO216" s="40"/>
    </row>
    <row r="217" spans="1:67" ht="14.25" customHeight="1">
      <c r="A217" s="38"/>
      <c r="B217" s="38"/>
      <c r="C217" s="37"/>
      <c r="D217" s="37"/>
      <c r="E217" s="55"/>
      <c r="F217" s="38"/>
      <c r="G217" s="37"/>
      <c r="H217" s="38"/>
      <c r="I217" s="38"/>
      <c r="J217" s="52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  <c r="AK217" s="40"/>
      <c r="AL217" s="40"/>
      <c r="AM217" s="40"/>
      <c r="AN217" s="40"/>
      <c r="AO217" s="40"/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M217" s="40"/>
      <c r="BN217" s="40"/>
      <c r="BO217" s="40"/>
    </row>
    <row r="218" spans="1:67" ht="14.25" customHeight="1">
      <c r="A218" s="38"/>
      <c r="B218" s="38"/>
      <c r="C218" s="37"/>
      <c r="D218" s="37"/>
      <c r="E218" s="55"/>
      <c r="F218" s="38"/>
      <c r="G218" s="37"/>
      <c r="H218" s="38"/>
      <c r="I218" s="38"/>
      <c r="J218" s="52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  <c r="AK218" s="40"/>
      <c r="AL218" s="40"/>
      <c r="AM218" s="40"/>
      <c r="AN218" s="40"/>
      <c r="AO218" s="40"/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M218" s="40"/>
      <c r="BN218" s="40"/>
      <c r="BO218" s="40"/>
    </row>
    <row r="219" spans="1:67" ht="14.25" customHeight="1">
      <c r="A219" s="38"/>
      <c r="B219" s="38"/>
      <c r="C219" s="37"/>
      <c r="D219" s="37"/>
      <c r="E219" s="55"/>
      <c r="F219" s="38"/>
      <c r="G219" s="37"/>
      <c r="H219" s="38"/>
      <c r="I219" s="38"/>
      <c r="J219" s="52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</row>
    <row r="220" spans="1:67" ht="14.25" customHeight="1">
      <c r="A220" s="38"/>
      <c r="B220" s="38"/>
      <c r="C220" s="37"/>
      <c r="D220" s="37"/>
      <c r="E220" s="55"/>
      <c r="F220" s="38"/>
      <c r="G220" s="37"/>
      <c r="H220" s="38"/>
      <c r="I220" s="38"/>
      <c r="J220" s="52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  <c r="AK220" s="40"/>
      <c r="AL220" s="40"/>
      <c r="AM220" s="40"/>
      <c r="AN220" s="40"/>
      <c r="AO220" s="40"/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  <c r="BA220" s="40"/>
      <c r="BB220" s="40"/>
      <c r="BC220" s="40"/>
      <c r="BD220" s="40"/>
      <c r="BE220" s="40"/>
      <c r="BF220" s="40"/>
      <c r="BG220" s="40"/>
      <c r="BH220" s="40"/>
      <c r="BI220" s="40"/>
      <c r="BJ220" s="40"/>
      <c r="BK220" s="40"/>
      <c r="BL220" s="40"/>
      <c r="BM220" s="40"/>
      <c r="BN220" s="40"/>
      <c r="BO220" s="40"/>
    </row>
    <row r="221" spans="1:67" ht="14.25" customHeight="1">
      <c r="A221" s="38"/>
      <c r="B221" s="38"/>
      <c r="C221" s="37"/>
      <c r="D221" s="37"/>
      <c r="E221" s="55"/>
      <c r="F221" s="38"/>
      <c r="G221" s="37"/>
      <c r="H221" s="38"/>
      <c r="I221" s="38"/>
      <c r="J221" s="52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  <c r="BA221" s="40"/>
      <c r="BB221" s="40"/>
      <c r="BC221" s="40"/>
      <c r="BD221" s="40"/>
      <c r="BE221" s="40"/>
      <c r="BF221" s="40"/>
      <c r="BG221" s="40"/>
      <c r="BH221" s="40"/>
      <c r="BI221" s="40"/>
      <c r="BJ221" s="40"/>
      <c r="BK221" s="40"/>
      <c r="BL221" s="40"/>
      <c r="BM221" s="40"/>
      <c r="BN221" s="40"/>
      <c r="BO221" s="40"/>
    </row>
    <row r="222" spans="1:67" ht="14.25" customHeight="1">
      <c r="A222" s="38"/>
      <c r="B222" s="38"/>
      <c r="C222" s="37"/>
      <c r="D222" s="37"/>
      <c r="E222" s="55"/>
      <c r="F222" s="38"/>
      <c r="G222" s="37"/>
      <c r="H222" s="38"/>
      <c r="I222" s="38"/>
      <c r="J222" s="52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  <c r="BA222" s="40"/>
      <c r="BB222" s="40"/>
      <c r="BC222" s="40"/>
      <c r="BD222" s="40"/>
      <c r="BE222" s="40"/>
      <c r="BF222" s="40"/>
      <c r="BG222" s="40"/>
      <c r="BH222" s="40"/>
      <c r="BI222" s="40"/>
      <c r="BJ222" s="40"/>
      <c r="BK222" s="40"/>
      <c r="BL222" s="40"/>
      <c r="BM222" s="40"/>
      <c r="BN222" s="40"/>
      <c r="BO222" s="40"/>
    </row>
    <row r="223" spans="1:67" ht="14.25" customHeight="1">
      <c r="A223" s="38"/>
      <c r="B223" s="38"/>
      <c r="C223" s="37"/>
      <c r="D223" s="37"/>
      <c r="E223" s="55"/>
      <c r="F223" s="38"/>
      <c r="G223" s="37"/>
      <c r="H223" s="38"/>
      <c r="I223" s="38"/>
      <c r="J223" s="52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  <c r="BA223" s="40"/>
      <c r="BB223" s="40"/>
      <c r="BC223" s="40"/>
      <c r="BD223" s="40"/>
      <c r="BE223" s="40"/>
      <c r="BF223" s="40"/>
      <c r="BG223" s="40"/>
      <c r="BH223" s="40"/>
      <c r="BI223" s="40"/>
      <c r="BJ223" s="40"/>
      <c r="BK223" s="40"/>
      <c r="BL223" s="40"/>
      <c r="BM223" s="40"/>
      <c r="BN223" s="40"/>
      <c r="BO223" s="40"/>
    </row>
    <row r="224" spans="1:67" ht="14.25" customHeight="1">
      <c r="A224" s="38"/>
      <c r="B224" s="38"/>
      <c r="C224" s="37"/>
      <c r="D224" s="37"/>
      <c r="E224" s="55"/>
      <c r="F224" s="38"/>
      <c r="G224" s="37"/>
      <c r="H224" s="38"/>
      <c r="I224" s="38"/>
      <c r="J224" s="52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  <c r="BA224" s="40"/>
      <c r="BB224" s="40"/>
      <c r="BC224" s="40"/>
      <c r="BD224" s="40"/>
      <c r="BE224" s="40"/>
      <c r="BF224" s="40"/>
      <c r="BG224" s="40"/>
      <c r="BH224" s="40"/>
      <c r="BI224" s="40"/>
      <c r="BJ224" s="40"/>
      <c r="BK224" s="40"/>
      <c r="BL224" s="40"/>
      <c r="BM224" s="40"/>
      <c r="BN224" s="40"/>
      <c r="BO224" s="40"/>
    </row>
    <row r="225" spans="1:67" ht="14.25" customHeight="1">
      <c r="A225" s="38"/>
      <c r="B225" s="38"/>
      <c r="C225" s="37"/>
      <c r="D225" s="37"/>
      <c r="E225" s="55"/>
      <c r="F225" s="38"/>
      <c r="G225" s="37"/>
      <c r="H225" s="38"/>
      <c r="I225" s="38"/>
      <c r="J225" s="52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  <c r="BA225" s="40"/>
      <c r="BB225" s="40"/>
      <c r="BC225" s="40"/>
      <c r="BD225" s="40"/>
      <c r="BE225" s="40"/>
      <c r="BF225" s="40"/>
      <c r="BG225" s="40"/>
      <c r="BH225" s="40"/>
      <c r="BI225" s="40"/>
      <c r="BJ225" s="40"/>
      <c r="BK225" s="40"/>
      <c r="BL225" s="40"/>
      <c r="BM225" s="40"/>
      <c r="BN225" s="40"/>
      <c r="BO225" s="40"/>
    </row>
    <row r="226" spans="1:67" ht="14.25" customHeight="1">
      <c r="A226" s="38"/>
      <c r="B226" s="38"/>
      <c r="C226" s="37"/>
      <c r="D226" s="37"/>
      <c r="E226" s="55"/>
      <c r="F226" s="38"/>
      <c r="G226" s="37"/>
      <c r="H226" s="38"/>
      <c r="I226" s="38"/>
      <c r="J226" s="52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  <c r="BA226" s="40"/>
      <c r="BB226" s="40"/>
      <c r="BC226" s="40"/>
      <c r="BD226" s="40"/>
      <c r="BE226" s="40"/>
      <c r="BF226" s="40"/>
      <c r="BG226" s="40"/>
      <c r="BH226" s="40"/>
      <c r="BI226" s="40"/>
      <c r="BJ226" s="40"/>
      <c r="BK226" s="40"/>
      <c r="BL226" s="40"/>
      <c r="BM226" s="40"/>
      <c r="BN226" s="40"/>
      <c r="BO226" s="40"/>
    </row>
    <row r="227" spans="1:67" ht="14.25" customHeight="1">
      <c r="A227" s="38"/>
      <c r="B227" s="38"/>
      <c r="C227" s="37"/>
      <c r="D227" s="37"/>
      <c r="E227" s="55"/>
      <c r="F227" s="38"/>
      <c r="G227" s="37"/>
      <c r="H227" s="38"/>
      <c r="I227" s="38"/>
      <c r="J227" s="52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</row>
    <row r="228" spans="1:67" ht="14.25" customHeight="1">
      <c r="A228" s="38"/>
      <c r="B228" s="38"/>
      <c r="C228" s="37"/>
      <c r="D228" s="37"/>
      <c r="E228" s="55"/>
      <c r="F228" s="38"/>
      <c r="G228" s="37"/>
      <c r="H228" s="38"/>
      <c r="I228" s="38"/>
      <c r="J228" s="52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</row>
    <row r="229" spans="1:67" ht="14.25" customHeight="1">
      <c r="A229" s="38"/>
      <c r="B229" s="38"/>
      <c r="C229" s="37"/>
      <c r="D229" s="37"/>
      <c r="E229" s="55"/>
      <c r="F229" s="38"/>
      <c r="G229" s="37"/>
      <c r="H229" s="38"/>
      <c r="I229" s="38"/>
      <c r="J229" s="52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  <c r="BA229" s="40"/>
      <c r="BB229" s="40"/>
      <c r="BC229" s="40"/>
      <c r="BD229" s="40"/>
      <c r="BE229" s="40"/>
      <c r="BF229" s="40"/>
      <c r="BG229" s="40"/>
      <c r="BH229" s="40"/>
      <c r="BI229" s="40"/>
      <c r="BJ229" s="40"/>
      <c r="BK229" s="40"/>
      <c r="BL229" s="40"/>
      <c r="BM229" s="40"/>
      <c r="BN229" s="40"/>
      <c r="BO229" s="40"/>
    </row>
    <row r="230" spans="1:67" ht="14.25" customHeight="1">
      <c r="A230" s="38"/>
      <c r="B230" s="38"/>
      <c r="C230" s="37"/>
      <c r="D230" s="37"/>
      <c r="E230" s="55"/>
      <c r="F230" s="38"/>
      <c r="G230" s="37"/>
      <c r="H230" s="38"/>
      <c r="I230" s="38"/>
      <c r="J230" s="52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</row>
    <row r="231" spans="1:67" ht="14.25" customHeight="1">
      <c r="A231" s="38"/>
      <c r="B231" s="38"/>
      <c r="C231" s="37"/>
      <c r="D231" s="37"/>
      <c r="E231" s="55"/>
      <c r="F231" s="38"/>
      <c r="G231" s="37"/>
      <c r="H231" s="38"/>
      <c r="I231" s="38"/>
      <c r="J231" s="52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</row>
    <row r="232" spans="1:67" ht="14.25" customHeight="1">
      <c r="A232" s="38"/>
      <c r="B232" s="38"/>
      <c r="C232" s="37"/>
      <c r="D232" s="37"/>
      <c r="E232" s="55"/>
      <c r="F232" s="38"/>
      <c r="G232" s="37"/>
      <c r="H232" s="38"/>
      <c r="I232" s="38"/>
      <c r="J232" s="52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</row>
    <row r="233" spans="1:67" ht="14.25" customHeight="1">
      <c r="A233" s="38"/>
      <c r="B233" s="38"/>
      <c r="C233" s="37"/>
      <c r="D233" s="37"/>
      <c r="E233" s="55"/>
      <c r="F233" s="38"/>
      <c r="G233" s="37"/>
      <c r="H233" s="38"/>
      <c r="I233" s="38"/>
      <c r="J233" s="52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  <c r="BA233" s="40"/>
      <c r="BB233" s="40"/>
      <c r="BC233" s="40"/>
      <c r="BD233" s="40"/>
      <c r="BE233" s="40"/>
      <c r="BF233" s="40"/>
      <c r="BG233" s="40"/>
      <c r="BH233" s="40"/>
      <c r="BI233" s="40"/>
      <c r="BJ233" s="40"/>
      <c r="BK233" s="40"/>
      <c r="BL233" s="40"/>
      <c r="BM233" s="40"/>
      <c r="BN233" s="40"/>
      <c r="BO233" s="40"/>
    </row>
    <row r="234" spans="1:67" ht="14.25" customHeight="1">
      <c r="A234" s="38"/>
      <c r="B234" s="38"/>
      <c r="C234" s="37"/>
      <c r="D234" s="37"/>
      <c r="E234" s="55"/>
      <c r="F234" s="38"/>
      <c r="G234" s="37"/>
      <c r="H234" s="38"/>
      <c r="I234" s="38"/>
      <c r="J234" s="52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</row>
    <row r="235" spans="1:67" ht="14.25" customHeight="1">
      <c r="A235" s="38"/>
      <c r="B235" s="38"/>
      <c r="C235" s="37"/>
      <c r="D235" s="37"/>
      <c r="E235" s="55"/>
      <c r="F235" s="38"/>
      <c r="G235" s="37"/>
      <c r="H235" s="38"/>
      <c r="I235" s="38"/>
      <c r="J235" s="52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</row>
    <row r="236" spans="1:67" ht="14.25" customHeight="1">
      <c r="A236" s="38"/>
      <c r="B236" s="38"/>
      <c r="C236" s="37"/>
      <c r="D236" s="37"/>
      <c r="E236" s="55"/>
      <c r="F236" s="38"/>
      <c r="G236" s="37"/>
      <c r="H236" s="38"/>
      <c r="I236" s="38"/>
      <c r="J236" s="52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  <c r="BA236" s="40"/>
      <c r="BB236" s="40"/>
      <c r="BC236" s="40"/>
      <c r="BD236" s="40"/>
      <c r="BE236" s="40"/>
      <c r="BF236" s="40"/>
      <c r="BG236" s="40"/>
      <c r="BH236" s="40"/>
      <c r="BI236" s="40"/>
      <c r="BJ236" s="40"/>
      <c r="BK236" s="40"/>
      <c r="BL236" s="40"/>
      <c r="BM236" s="40"/>
      <c r="BN236" s="40"/>
      <c r="BO236" s="40"/>
    </row>
    <row r="237" spans="1:67" ht="14.25" customHeight="1">
      <c r="A237" s="38"/>
      <c r="B237" s="38"/>
      <c r="C237" s="37"/>
      <c r="D237" s="37"/>
      <c r="E237" s="55"/>
      <c r="F237" s="38"/>
      <c r="G237" s="37"/>
      <c r="H237" s="38"/>
      <c r="I237" s="38"/>
      <c r="J237" s="52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  <c r="BA237" s="40"/>
      <c r="BB237" s="40"/>
      <c r="BC237" s="40"/>
      <c r="BD237" s="40"/>
      <c r="BE237" s="40"/>
      <c r="BF237" s="40"/>
      <c r="BG237" s="40"/>
      <c r="BH237" s="40"/>
      <c r="BI237" s="40"/>
      <c r="BJ237" s="40"/>
      <c r="BK237" s="40"/>
      <c r="BL237" s="40"/>
      <c r="BM237" s="40"/>
      <c r="BN237" s="40"/>
      <c r="BO237" s="40"/>
    </row>
    <row r="238" spans="1:67" ht="14.25" customHeight="1">
      <c r="A238" s="38"/>
      <c r="B238" s="38"/>
      <c r="C238" s="37"/>
      <c r="D238" s="37"/>
      <c r="E238" s="55"/>
      <c r="F238" s="38"/>
      <c r="G238" s="37"/>
      <c r="H238" s="38"/>
      <c r="I238" s="38"/>
      <c r="J238" s="52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  <c r="BA238" s="40"/>
      <c r="BB238" s="40"/>
      <c r="BC238" s="40"/>
      <c r="BD238" s="40"/>
      <c r="BE238" s="40"/>
      <c r="BF238" s="40"/>
      <c r="BG238" s="40"/>
      <c r="BH238" s="40"/>
      <c r="BI238" s="40"/>
      <c r="BJ238" s="40"/>
      <c r="BK238" s="40"/>
      <c r="BL238" s="40"/>
      <c r="BM238" s="40"/>
      <c r="BN238" s="40"/>
      <c r="BO238" s="40"/>
    </row>
    <row r="239" spans="1:67" ht="14.25" customHeight="1">
      <c r="A239" s="38"/>
      <c r="B239" s="38"/>
      <c r="C239" s="37"/>
      <c r="D239" s="37"/>
      <c r="E239" s="55"/>
      <c r="F239" s="38"/>
      <c r="G239" s="37"/>
      <c r="H239" s="38"/>
      <c r="I239" s="38"/>
      <c r="J239" s="52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  <c r="BA239" s="40"/>
      <c r="BB239" s="40"/>
      <c r="BC239" s="40"/>
      <c r="BD239" s="40"/>
      <c r="BE239" s="40"/>
      <c r="BF239" s="40"/>
      <c r="BG239" s="40"/>
      <c r="BH239" s="40"/>
      <c r="BI239" s="40"/>
      <c r="BJ239" s="40"/>
      <c r="BK239" s="40"/>
      <c r="BL239" s="40"/>
      <c r="BM239" s="40"/>
      <c r="BN239" s="40"/>
      <c r="BO239" s="40"/>
    </row>
    <row r="240" spans="1:67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I1"/>
    <mergeCell ref="G4:H4"/>
    <mergeCell ref="H8:I8"/>
  </mergeCells>
  <conditionalFormatting sqref="M8:BN84">
    <cfRule type="expression" dxfId="9" priority="1">
      <formula>AND(TODAY()&gt;=M$7,TODAY()&lt;N$7)</formula>
    </cfRule>
  </conditionalFormatting>
  <conditionalFormatting sqref="M10:BN11 M14:BN84">
    <cfRule type="expression" dxfId="8" priority="2" stopIfTrue="1">
      <formula>NOT(AND(MAX($K10,$H10)&gt;=M$7,MIN($J10,$G10)&lt;N$7))</formula>
    </cfRule>
    <cfRule type="expression" dxfId="7" priority="3">
      <formula>AND($H10&gt;=M$7,$G10&lt;N$7)</formula>
    </cfRule>
    <cfRule type="expression" dxfId="6" priority="4" stopIfTrue="1">
      <formula>AND($K10&gt;=M$7,$J10&lt;N$7)</formula>
    </cfRule>
  </conditionalFormatting>
  <conditionalFormatting sqref="M12:BN12">
    <cfRule type="expression" dxfId="5" priority="5" stopIfTrue="1">
      <formula>NOT(AND(MAX($K12,$H13)&gt;=M$7,MIN($J12,$G13)&lt;N$7))</formula>
    </cfRule>
    <cfRule type="expression" dxfId="4" priority="6">
      <formula>AND($H13&gt;=M$7,$G13&lt;N$7)</formula>
    </cfRule>
    <cfRule type="expression" dxfId="3" priority="7" stopIfTrue="1">
      <formula>AND($K12&gt;=M$7,$J12&lt;N$7)</formula>
    </cfRule>
  </conditionalFormatting>
  <conditionalFormatting sqref="M13:BN13">
    <cfRule type="expression" dxfId="2" priority="8" stopIfTrue="1">
      <formula>NOT(AND(MAX($K13,#REF!)&gt;=M$7,MIN($J13,#REF!)&lt;N$7))</formula>
    </cfRule>
    <cfRule type="expression" dxfId="1" priority="9">
      <formula>AND(#REF!&gt;=M$7,#REF!&lt;N$7)</formula>
    </cfRule>
    <cfRule type="expression" dxfId="0" priority="10" stopIfTrue="1">
      <formula>AND($K13&gt;=M$7,$J13&lt;N$7)</formula>
    </cfRule>
  </conditionalFormatting>
  <dataValidations count="1">
    <dataValidation type="list" allowBlank="1" showErrorMessage="1" sqref="G6" xr:uid="{00000000-0002-0000-0400-000000000000}">
      <formula1>"Daily,Weekly,Monthly,Quarterly"</formula1>
    </dataValidation>
  </dataValidations>
  <pageMargins left="0.35" right="0.35" top="0.35" bottom="0.5" header="0" footer="0"/>
  <pageSetup scale="75" orientation="landscape"/>
  <headerFooter>
    <oddFooter>&amp;CTrang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Thiết kế CSDL</vt:lpstr>
      <vt:lpstr>Dữ liệu mẫu</vt:lpstr>
      <vt:lpstr>Công việc thực hiện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Chung Trinh</dc:creator>
  <cp:lastModifiedBy>DinhDC</cp:lastModifiedBy>
  <dcterms:created xsi:type="dcterms:W3CDTF">2018-01-10T07:30:28Z</dcterms:created>
  <dcterms:modified xsi:type="dcterms:W3CDTF">2025-12-28T16:29:00Z</dcterms:modified>
</cp:coreProperties>
</file>